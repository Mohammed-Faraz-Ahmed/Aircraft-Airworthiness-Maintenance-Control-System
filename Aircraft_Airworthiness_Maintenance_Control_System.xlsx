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00BBB96AE7DA6/Documents/"/>
    </mc:Choice>
  </mc:AlternateContent>
  <xr:revisionPtr revIDLastSave="1773" documentId="8_{96E96898-DE76-4D8D-99D3-E9F14F7EBBC4}" xr6:coauthVersionLast="47" xr6:coauthVersionMax="47" xr10:uidLastSave="{B1B4D5DF-3BFA-4D7F-8033-CAB96822F908}"/>
  <bookViews>
    <workbookView xWindow="3684" yWindow="8148" windowWidth="15828" windowHeight="7632" tabRatio="690" activeTab="2" xr2:uid="{248468E8-E411-489E-925B-551DC74AE962}"/>
  </bookViews>
  <sheets>
    <sheet name="DASHBOARD" sheetId="1" r:id="rId1"/>
    <sheet name="Aircraft INFORMATION" sheetId="2" r:id="rId2"/>
    <sheet name="AD_Status" sheetId="3" r:id="rId3"/>
    <sheet name="ATTENTION REQUIRED" sheetId="9" r:id="rId4"/>
    <sheet name="AIRCRAFT HISTORY" sheetId="10" r:id="rId5"/>
    <sheet name="Risk Priority" sheetId="11" r:id="rId6"/>
    <sheet name="RISK AMP" sheetId="12" r:id="rId7"/>
    <sheet name="RISK DEFECTS" sheetId="13" r:id="rId8"/>
    <sheet name="RISK &amp; PRIORITY" sheetId="14" r:id="rId9"/>
    <sheet name="Defered Defects" sheetId="6" r:id="rId10"/>
    <sheet name="AMP" sheetId="4" r:id="rId11"/>
    <sheet name="CRS" sheetId="8" r:id="rId12"/>
    <sheet name="Technical Log" sheetId="7" r:id="rId13"/>
    <sheet name="Life limited parts" sheetId="5" r:id="rId14"/>
    <sheet name="MAINTENANCE PLANNING" sheetId="15" r:id="rId15"/>
    <sheet name="MAINTENANCE PACKAGING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  <c r="I3" i="14" s="1"/>
  <c r="H4" i="14"/>
  <c r="I4" i="14" s="1"/>
  <c r="H5" i="14"/>
  <c r="I5" i="14" s="1"/>
  <c r="H6" i="14"/>
  <c r="I6" i="14" s="1"/>
  <c r="H7" i="14"/>
  <c r="I7" i="14" s="1"/>
  <c r="I4" i="12"/>
  <c r="B2" i="15"/>
  <c r="G8" i="11"/>
  <c r="I8" i="11" s="1"/>
  <c r="G7" i="11"/>
  <c r="D2" i="10"/>
  <c r="B7" i="10" s="1"/>
  <c r="F20" i="1"/>
  <c r="K20" i="1"/>
  <c r="H2" i="14"/>
  <c r="I2" i="14" s="1"/>
  <c r="A2" i="14" a="1"/>
  <c r="A2" i="14" s="1"/>
  <c r="H3" i="13"/>
  <c r="I3" i="13" s="1"/>
  <c r="J3" i="13" s="1"/>
  <c r="H4" i="13"/>
  <c r="I4" i="13" s="1"/>
  <c r="J4" i="13" s="1"/>
  <c r="H5" i="13"/>
  <c r="I5" i="13" s="1"/>
  <c r="J5" i="13" s="1"/>
  <c r="H6" i="13"/>
  <c r="I6" i="13" s="1"/>
  <c r="J6" i="13" s="1"/>
  <c r="H7" i="13"/>
  <c r="I7" i="13" s="1"/>
  <c r="J7" i="13" s="1"/>
  <c r="H2" i="13"/>
  <c r="I2" i="13" s="1"/>
  <c r="J2" i="13" s="1"/>
  <c r="A2" i="13" a="1"/>
  <c r="A2" i="13" s="1"/>
  <c r="I3" i="12"/>
  <c r="I5" i="12"/>
  <c r="I2" i="12"/>
  <c r="H3" i="12"/>
  <c r="H4" i="12"/>
  <c r="H5" i="12"/>
  <c r="H2" i="12"/>
  <c r="G3" i="12"/>
  <c r="G4" i="12"/>
  <c r="G5" i="12"/>
  <c r="G2" i="12"/>
  <c r="A2" i="12" a="1"/>
  <c r="A2" i="12" s="1"/>
  <c r="A2" i="11" a="1"/>
  <c r="A2" i="11" s="1"/>
  <c r="I2" i="11" s="1"/>
  <c r="G31" i="9" a="1"/>
  <c r="G31" i="9" s="1"/>
  <c r="F31" i="9" a="1"/>
  <c r="F31" i="9" s="1"/>
  <c r="E31" i="9" a="1"/>
  <c r="E31" i="9" s="1"/>
  <c r="D31" i="9" a="1"/>
  <c r="D31" i="9" s="1"/>
  <c r="C31" i="9" a="1"/>
  <c r="C31" i="9" s="1"/>
  <c r="A31" i="9" a="1"/>
  <c r="A31" i="9" s="1"/>
  <c r="F21" i="9" a="1"/>
  <c r="F21" i="9" s="1"/>
  <c r="I4" i="5"/>
  <c r="E21" i="9" a="1"/>
  <c r="E21" i="9" s="1"/>
  <c r="D21" i="9" a="1"/>
  <c r="D21" i="9" s="1"/>
  <c r="C21" i="9" a="1"/>
  <c r="C21" i="9" s="1"/>
  <c r="A21" i="9" a="1"/>
  <c r="I3" i="5"/>
  <c r="I5" i="5"/>
  <c r="I6" i="5"/>
  <c r="I7" i="5"/>
  <c r="I8" i="5"/>
  <c r="I9" i="5"/>
  <c r="I10" i="5"/>
  <c r="I2" i="5"/>
  <c r="A27" i="1"/>
  <c r="H11" i="5"/>
  <c r="I11" i="5" s="1"/>
  <c r="G12" i="9" a="1"/>
  <c r="G12" i="9" s="1"/>
  <c r="H12" i="9" a="1"/>
  <c r="H12" i="9" s="1"/>
  <c r="F12" i="9" a="1"/>
  <c r="F12" i="9" s="1"/>
  <c r="E12" i="9" a="1"/>
  <c r="E12" i="9" s="1"/>
  <c r="D12" i="9" a="1"/>
  <c r="D12" i="9" s="1"/>
  <c r="C12" i="9" a="1"/>
  <c r="C12" i="9" s="1"/>
  <c r="C2" i="9" a="1"/>
  <c r="C2" i="9" s="1"/>
  <c r="A12" i="9" a="1"/>
  <c r="A12" i="9" s="1"/>
  <c r="F2" i="9" a="1"/>
  <c r="F2" i="9" s="1"/>
  <c r="E2" i="9" a="1"/>
  <c r="E2" i="9" s="1"/>
  <c r="D2" i="9" a="1"/>
  <c r="D2" i="9" s="1"/>
  <c r="A2" i="9" a="1"/>
  <c r="A2" i="9" s="1"/>
  <c r="C16" i="1"/>
  <c r="C15" i="1"/>
  <c r="C14" i="1"/>
  <c r="C13" i="1"/>
  <c r="C12" i="1"/>
  <c r="C11" i="1"/>
  <c r="C10" i="1"/>
  <c r="C9" i="1"/>
  <c r="C8" i="1"/>
  <c r="C7" i="1"/>
  <c r="P20" i="1"/>
  <c r="F27" i="1"/>
  <c r="H10" i="5"/>
  <c r="H3" i="5"/>
  <c r="H4" i="5"/>
  <c r="H5" i="5"/>
  <c r="H6" i="5"/>
  <c r="H7" i="5"/>
  <c r="H8" i="5"/>
  <c r="H9" i="5"/>
  <c r="H2" i="5"/>
  <c r="A20" i="1"/>
  <c r="H8" i="11" l="1"/>
  <c r="A15" i="10" a="1"/>
  <c r="A15" i="10" s="1"/>
  <c r="A29" i="10" a="1"/>
  <c r="A29" i="10" s="1"/>
  <c r="B8" i="10"/>
  <c r="B9" i="10"/>
  <c r="B10" i="10"/>
  <c r="A6" i="15" a="1"/>
  <c r="A6" i="15" s="1"/>
  <c r="C6" i="15" a="1"/>
  <c r="C6" i="15" s="1"/>
  <c r="D6" i="15" a="1"/>
  <c r="D6" i="15" s="1"/>
  <c r="F6" i="15" a="1"/>
  <c r="F6" i="15" s="1"/>
  <c r="E6" i="15" a="1"/>
  <c r="E6" i="15" s="1"/>
  <c r="G2" i="11"/>
  <c r="H2" i="11" s="1"/>
  <c r="H7" i="11"/>
  <c r="I4" i="11"/>
  <c r="I7" i="11"/>
  <c r="G6" i="11"/>
  <c r="H6" i="11" s="1"/>
  <c r="I6" i="11"/>
  <c r="G5" i="11"/>
  <c r="H5" i="11" s="1"/>
  <c r="I5" i="11"/>
  <c r="G4" i="11"/>
  <c r="H4" i="11" s="1"/>
  <c r="G3" i="11"/>
  <c r="H3" i="11" s="1"/>
  <c r="I3" i="11"/>
  <c r="B31" i="9" a="1"/>
  <c r="B31" i="9" s="1"/>
  <c r="A21" i="9"/>
  <c r="B21" i="9" s="1" a="1"/>
  <c r="B21" i="9" s="1"/>
  <c r="B12" i="9" a="1"/>
  <c r="B12" i="9" s="1"/>
  <c r="B2" i="9" a="1"/>
  <c r="B2" i="9" s="1"/>
  <c r="D35" i="1" l="1"/>
  <c r="G35" i="1"/>
  <c r="I6" i="15" a="1"/>
  <c r="I6" i="15" s="1"/>
  <c r="B6" i="15" a="1"/>
  <c r="B6" i="15" s="1"/>
  <c r="H6" i="15" a="1"/>
  <c r="G6" i="15" a="1"/>
  <c r="G6" i="15" s="1"/>
  <c r="A35" i="1" s="1"/>
  <c r="H6" i="15" l="1"/>
  <c r="M35" i="1" s="1"/>
  <c r="A2" i="16" l="1" a="1"/>
  <c r="H2" i="16" s="1" a="1"/>
  <c r="H2" i="16" s="1"/>
  <c r="I3" i="16"/>
  <c r="K3" i="16" s="1"/>
  <c r="H3" i="16" a="1"/>
  <c r="H3" i="16" s="1"/>
  <c r="J3" i="16"/>
  <c r="A2" i="16" l="1"/>
  <c r="J2" i="16"/>
  <c r="I2" i="16"/>
  <c r="K2" i="16" s="1"/>
  <c r="J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<sst xmlns="http://schemas.openxmlformats.org/spreadsheetml/2006/main" count="607" uniqueCount="339">
  <si>
    <t>registration</t>
  </si>
  <si>
    <t>Aircraft type</t>
  </si>
  <si>
    <t>manufacturer</t>
  </si>
  <si>
    <t>MSN</t>
  </si>
  <si>
    <t>operator</t>
  </si>
  <si>
    <t xml:space="preserve">Base </t>
  </si>
  <si>
    <t xml:space="preserve">Engine type </t>
  </si>
  <si>
    <t xml:space="preserve">Engine serial </t>
  </si>
  <si>
    <t xml:space="preserve">APU Serial </t>
  </si>
  <si>
    <t>Status</t>
  </si>
  <si>
    <t>Boeing</t>
  </si>
  <si>
    <t>Emirates</t>
  </si>
  <si>
    <t>Dubai</t>
  </si>
  <si>
    <t>GE90-115B</t>
  </si>
  <si>
    <t>AUTHORITY</t>
  </si>
  <si>
    <t>DESCRIPTION</t>
  </si>
  <si>
    <t>COMPLIANCE DATE</t>
  </si>
  <si>
    <t>EFFECTIVE DATE</t>
  </si>
  <si>
    <t>COMPLIANCE METHOD</t>
  </si>
  <si>
    <t>DUE DATE</t>
  </si>
  <si>
    <t>STATUS</t>
  </si>
  <si>
    <t>REMARKS</t>
  </si>
  <si>
    <t>Due soon</t>
  </si>
  <si>
    <t>EASA</t>
  </si>
  <si>
    <t>Turbine fan Replacement</t>
  </si>
  <si>
    <t>2026-0056</t>
  </si>
  <si>
    <t>SB B777-300-1010</t>
  </si>
  <si>
    <t>Task name</t>
  </si>
  <si>
    <t xml:space="preserve">FH due </t>
  </si>
  <si>
    <t xml:space="preserve">FC due </t>
  </si>
  <si>
    <t>Last done FH</t>
  </si>
  <si>
    <t>Last done FC</t>
  </si>
  <si>
    <t>AMP 001</t>
  </si>
  <si>
    <t>C-check</t>
  </si>
  <si>
    <t>Completed</t>
  </si>
  <si>
    <t>Part NO.</t>
  </si>
  <si>
    <t>Serial no.</t>
  </si>
  <si>
    <t>Component</t>
  </si>
  <si>
    <t>Installed on</t>
  </si>
  <si>
    <t>Life limit</t>
  </si>
  <si>
    <t>Current cycles</t>
  </si>
  <si>
    <t>remaining cycles</t>
  </si>
  <si>
    <t>Overdue</t>
  </si>
  <si>
    <t>LDG-007</t>
  </si>
  <si>
    <t>Description</t>
  </si>
  <si>
    <t>MEL category</t>
  </si>
  <si>
    <t>Date raised</t>
  </si>
  <si>
    <t>Engineer</t>
  </si>
  <si>
    <t>DEF001</t>
  </si>
  <si>
    <t>Left reading light inoperative</t>
  </si>
  <si>
    <t>C</t>
  </si>
  <si>
    <t>FARAZ</t>
  </si>
  <si>
    <t>Rectified</t>
  </si>
  <si>
    <t>Deferred</t>
  </si>
  <si>
    <t xml:space="preserve">Date </t>
  </si>
  <si>
    <t>Flight NO.</t>
  </si>
  <si>
    <t>sector</t>
  </si>
  <si>
    <t>Defect reported</t>
  </si>
  <si>
    <t>Action taken</t>
  </si>
  <si>
    <t>Aircraft released</t>
  </si>
  <si>
    <t>YES</t>
  </si>
  <si>
    <t>Maintenace date</t>
  </si>
  <si>
    <t xml:space="preserve">Maintenace type </t>
  </si>
  <si>
    <t xml:space="preserve">Organisation </t>
  </si>
  <si>
    <t xml:space="preserve">CRS NO. </t>
  </si>
  <si>
    <t>Next due</t>
  </si>
  <si>
    <t>A-check</t>
  </si>
  <si>
    <t>Aviation MRO</t>
  </si>
  <si>
    <t>CRS-2026-002</t>
  </si>
  <si>
    <t>7000 FH</t>
  </si>
  <si>
    <t>EK526</t>
  </si>
  <si>
    <t>HYD-DXB</t>
  </si>
  <si>
    <t>Aircraft in the fleet</t>
  </si>
  <si>
    <t>Open AD's</t>
  </si>
  <si>
    <t>Open</t>
  </si>
  <si>
    <t>Overdue AD's</t>
  </si>
  <si>
    <t>Deferred Defects</t>
  </si>
  <si>
    <t>Life limited parts near limit</t>
  </si>
  <si>
    <t>AMP task due</t>
  </si>
  <si>
    <t>Active</t>
  </si>
  <si>
    <t>Grounded</t>
  </si>
  <si>
    <t>Complied</t>
  </si>
  <si>
    <t>Due Soon</t>
  </si>
  <si>
    <t>Landing gear inspection</t>
  </si>
  <si>
    <t>SB A320-200-1001</t>
  </si>
  <si>
    <t>2026-0045</t>
  </si>
  <si>
    <t>2025-0202</t>
  </si>
  <si>
    <t>Both wings pylon Replacement</t>
  </si>
  <si>
    <t>Inspect before the next flight</t>
  </si>
  <si>
    <t>SB A321-200-1445</t>
  </si>
  <si>
    <t>Grounded until compliance</t>
  </si>
  <si>
    <t>2026-0023</t>
  </si>
  <si>
    <t>SB A380-800-2312</t>
  </si>
  <si>
    <t>2026-5423</t>
  </si>
  <si>
    <t>SB B747-400-7432</t>
  </si>
  <si>
    <t>Elevator Inspection</t>
  </si>
  <si>
    <t>B777-300ER</t>
  </si>
  <si>
    <t>ESN002</t>
  </si>
  <si>
    <t>APS002</t>
  </si>
  <si>
    <t>ESN003</t>
  </si>
  <si>
    <t>APS003</t>
  </si>
  <si>
    <t>A380-800</t>
  </si>
  <si>
    <t>Airbus</t>
  </si>
  <si>
    <t>GP7270</t>
  </si>
  <si>
    <t>ESN004</t>
  </si>
  <si>
    <t>APS004</t>
  </si>
  <si>
    <t>ESN005</t>
  </si>
  <si>
    <t>APS005</t>
  </si>
  <si>
    <t>Under Maintenance</t>
  </si>
  <si>
    <t>A320neo</t>
  </si>
  <si>
    <t>Air India</t>
  </si>
  <si>
    <t>Delhi</t>
  </si>
  <si>
    <t>LEAP-1A26</t>
  </si>
  <si>
    <t>ESN006</t>
  </si>
  <si>
    <t>APS006</t>
  </si>
  <si>
    <t>B787-8</t>
  </si>
  <si>
    <t>Mumbai</t>
  </si>
  <si>
    <t>GEnx-1B74</t>
  </si>
  <si>
    <t>ESN007</t>
  </si>
  <si>
    <t>APS007</t>
  </si>
  <si>
    <t>A321neo</t>
  </si>
  <si>
    <t>IndiGo</t>
  </si>
  <si>
    <t>Hyderabad</t>
  </si>
  <si>
    <t>PW1133G-JM</t>
  </si>
  <si>
    <t>ESN008</t>
  </si>
  <si>
    <t>APS008</t>
  </si>
  <si>
    <t>Bengaluru</t>
  </si>
  <si>
    <t>ESN009</t>
  </si>
  <si>
    <t>APS009</t>
  </si>
  <si>
    <t>A350-1000</t>
  </si>
  <si>
    <t>trent XWB-97</t>
  </si>
  <si>
    <t>ESN023</t>
  </si>
  <si>
    <t>APU203</t>
  </si>
  <si>
    <t>2026-0098</t>
  </si>
  <si>
    <t>Hydraulic Pump Inspection</t>
  </si>
  <si>
    <t>SB A350-29-1205</t>
  </si>
  <si>
    <t>2026-0112</t>
  </si>
  <si>
    <t>FAA</t>
  </si>
  <si>
    <t>Fuel Pump Replacement</t>
  </si>
  <si>
    <t>SB B737-28-1165</t>
  </si>
  <si>
    <t>Replaced fuel pump during scheduled maintenance</t>
  </si>
  <si>
    <t>2026-0074</t>
  </si>
  <si>
    <t>Cabin Pressure Valve Inspection</t>
  </si>
  <si>
    <t>SB A320-21-1056</t>
  </si>
  <si>
    <t>Aircraft grounded until compliance</t>
  </si>
  <si>
    <t>2026-0135</t>
  </si>
  <si>
    <t>Engine Oil Filter Inspection</t>
  </si>
  <si>
    <t>SB B787-79-2101</t>
  </si>
  <si>
    <t>Schedule inspection before next maintenance check</t>
  </si>
  <si>
    <t>AMP 002</t>
  </si>
  <si>
    <t>AMP 003</t>
  </si>
  <si>
    <t>Landing Gear Inspection</t>
  </si>
  <si>
    <t>AMP 004</t>
  </si>
  <si>
    <t>Engine Oil Filter Change</t>
  </si>
  <si>
    <t>AMP 005</t>
  </si>
  <si>
    <t>Hydraulic System Inspection</t>
  </si>
  <si>
    <t>AMP 006</t>
  </si>
  <si>
    <t>Brake Wear Inspection</t>
  </si>
  <si>
    <t>AMP 007</t>
  </si>
  <si>
    <t>Oxygen System Check</t>
  </si>
  <si>
    <t>AMP 008</t>
  </si>
  <si>
    <t>ELT Functional Test</t>
  </si>
  <si>
    <t>Landing gear</t>
  </si>
  <si>
    <t>Left belly</t>
  </si>
  <si>
    <t>ENG-101</t>
  </si>
  <si>
    <t>Engine Fan Disc</t>
  </si>
  <si>
    <t>Engine 1</t>
  </si>
  <si>
    <t>ENG-102</t>
  </si>
  <si>
    <t>Engine 2</t>
  </si>
  <si>
    <t>BRK-015</t>
  </si>
  <si>
    <t>Brake Assembly</t>
  </si>
  <si>
    <t>Left Main Gear</t>
  </si>
  <si>
    <t>BRK-016</t>
  </si>
  <si>
    <t>Right Main Gear</t>
  </si>
  <si>
    <t>APU-021</t>
  </si>
  <si>
    <t>APU Starter Motor</t>
  </si>
  <si>
    <t>APU Bay</t>
  </si>
  <si>
    <t>FLP-045</t>
  </si>
  <si>
    <t>Flap Actuator</t>
  </si>
  <si>
    <t>Left Wing</t>
  </si>
  <si>
    <t>FLP-046</t>
  </si>
  <si>
    <t>Right Wing</t>
  </si>
  <si>
    <t>DEF002</t>
  </si>
  <si>
    <t>Right landing light inoperative</t>
  </si>
  <si>
    <t>AHMED</t>
  </si>
  <si>
    <t>DEF003</t>
  </si>
  <si>
    <t>Galley coffee maker unserviceable</t>
  </si>
  <si>
    <t>D</t>
  </si>
  <si>
    <t>SHARMA</t>
  </si>
  <si>
    <t>DEF004</t>
  </si>
  <si>
    <t>No. 2 cabin speaker intermittent</t>
  </si>
  <si>
    <t>KUMAR</t>
  </si>
  <si>
    <t>In Progress</t>
  </si>
  <si>
    <t>DEF005</t>
  </si>
  <si>
    <t>Cargo compartment light inoperative</t>
  </si>
  <si>
    <t>SINGH</t>
  </si>
  <si>
    <t>DEF006</t>
  </si>
  <si>
    <t>Windshield wiper slow operation</t>
  </si>
  <si>
    <t>B</t>
  </si>
  <si>
    <t>ALI</t>
  </si>
  <si>
    <t>DEF007</t>
  </si>
  <si>
    <t>Lavatory smoke detector fault</t>
  </si>
  <si>
    <t>A</t>
  </si>
  <si>
    <t>JOHN</t>
  </si>
  <si>
    <t>DEF008</t>
  </si>
  <si>
    <t>Seat 12A recline mechanism faulty</t>
  </si>
  <si>
    <t>DAVIS</t>
  </si>
  <si>
    <t>Windshield wiper inoperative</t>
  </si>
  <si>
    <t>Wiper replaced</t>
  </si>
  <si>
    <t>EK527</t>
  </si>
  <si>
    <t>DXB-HYD</t>
  </si>
  <si>
    <t>Left landing light inoperative</t>
  </si>
  <si>
    <t>Bulb replaced and operational check carried out</t>
  </si>
  <si>
    <t>EK528</t>
  </si>
  <si>
    <t>Low engine oil indication (Engine 2)</t>
  </si>
  <si>
    <t>Engine oil replenished and leak inspection performed</t>
  </si>
  <si>
    <t>EK529</t>
  </si>
  <si>
    <t>Tire pressure below limit (Nose wheel)</t>
  </si>
  <si>
    <t>Tire inflated to specified pressure</t>
  </si>
  <si>
    <t>EK530</t>
  </si>
  <si>
    <t>Cabin reading light unserviceable</t>
  </si>
  <si>
    <t>Reading light replaced</t>
  </si>
  <si>
    <t>EK531</t>
  </si>
  <si>
    <t>Hydraulic fluid level low</t>
  </si>
  <si>
    <t>Hydraulic reservoir serviced and leak check completed</t>
  </si>
  <si>
    <t>PATEL</t>
  </si>
  <si>
    <t>EK532</t>
  </si>
  <si>
    <t>Brake wear indicator near limit</t>
  </si>
  <si>
    <t>Brake inspection completed; replacement scheduled</t>
  </si>
  <si>
    <t>EK533</t>
  </si>
  <si>
    <t>Cargo door warning light illuminated</t>
  </si>
  <si>
    <t>Door latch adjusted and operational test carried out</t>
  </si>
  <si>
    <t>Transit Check</t>
  </si>
  <si>
    <t>CRS-2026-001</t>
  </si>
  <si>
    <t>Next Flight</t>
  </si>
  <si>
    <t>CRS-2025-014</t>
  </si>
  <si>
    <t>8000 FH</t>
  </si>
  <si>
    <t>Engine Borescope Inspection</t>
  </si>
  <si>
    <t>CRS-2025-011</t>
  </si>
  <si>
    <t>6000 FH</t>
  </si>
  <si>
    <t>CRS-2025-008</t>
  </si>
  <si>
    <t>5000 FC</t>
  </si>
  <si>
    <t>Brake Replacement</t>
  </si>
  <si>
    <t>CRS-2025-004</t>
  </si>
  <si>
    <t>4000 FC</t>
  </si>
  <si>
    <t>CRS-2024-018</t>
  </si>
  <si>
    <t>Engine Oil &amp; Filter Change</t>
  </si>
  <si>
    <t>CRS-2024-012</t>
  </si>
  <si>
    <t>500 FH</t>
  </si>
  <si>
    <t>Registration</t>
  </si>
  <si>
    <t>AMP 009</t>
  </si>
  <si>
    <t>Right belly</t>
  </si>
  <si>
    <t>DEF009</t>
  </si>
  <si>
    <t>Seat 16A recline mechanism faulty</t>
  </si>
  <si>
    <t>John</t>
  </si>
  <si>
    <t>A6-ABD</t>
  </si>
  <si>
    <t>A6-ADB</t>
  </si>
  <si>
    <t>A6-BCC</t>
  </si>
  <si>
    <t>A6-AAA</t>
  </si>
  <si>
    <t>VT-ABC</t>
  </si>
  <si>
    <t>VT-ABB</t>
  </si>
  <si>
    <t>VT-ABA</t>
  </si>
  <si>
    <t>VT-XYZ</t>
  </si>
  <si>
    <t>A6-AGF</t>
  </si>
  <si>
    <t>DXB-JFK</t>
  </si>
  <si>
    <t>hydraulic pressure sensor inoperative</t>
  </si>
  <si>
    <t>replaced the sensorr</t>
  </si>
  <si>
    <t>harry</t>
  </si>
  <si>
    <t>D-check</t>
  </si>
  <si>
    <t>CRS-2026-011</t>
  </si>
  <si>
    <t>Junaid</t>
  </si>
  <si>
    <t>8 years</t>
  </si>
  <si>
    <t>SELECT AN AIRCRAFT:</t>
  </si>
  <si>
    <t>EK525</t>
  </si>
  <si>
    <t>Aircraft Information</t>
  </si>
  <si>
    <t xml:space="preserve"> Aircraft Type</t>
  </si>
  <si>
    <t>Manufacturer</t>
  </si>
  <si>
    <t>Base</t>
  </si>
  <si>
    <t xml:space="preserve"> MSN</t>
  </si>
  <si>
    <t>Operator</t>
  </si>
  <si>
    <t>Engine Type</t>
  </si>
  <si>
    <t xml:space="preserve">Engine Serial </t>
  </si>
  <si>
    <t>APU Serial</t>
  </si>
  <si>
    <t>Type</t>
  </si>
  <si>
    <t>Reference</t>
  </si>
  <si>
    <t>Due</t>
  </si>
  <si>
    <t>Task ID</t>
  </si>
  <si>
    <t>Task Name</t>
  </si>
  <si>
    <t>FH Due</t>
  </si>
  <si>
    <t>FC Due</t>
  </si>
  <si>
    <t>Calender DUE</t>
  </si>
  <si>
    <t>Remaining Cycles</t>
  </si>
  <si>
    <t>Defect ID</t>
  </si>
  <si>
    <t>MEL Category</t>
  </si>
  <si>
    <t>Due Date</t>
  </si>
  <si>
    <t xml:space="preserve">select your aircraft: </t>
  </si>
  <si>
    <t>Aircraft Type</t>
  </si>
  <si>
    <t xml:space="preserve">Aircraft history </t>
  </si>
  <si>
    <t>Recent Technical Log</t>
  </si>
  <si>
    <t>Date</t>
  </si>
  <si>
    <t>Flight No.</t>
  </si>
  <si>
    <t>Sector</t>
  </si>
  <si>
    <t>Defect Reported</t>
  </si>
  <si>
    <t>Action Taken</t>
  </si>
  <si>
    <t>Released</t>
  </si>
  <si>
    <t>EK540</t>
  </si>
  <si>
    <t>DXB-BOM</t>
  </si>
  <si>
    <t>Cabin light inoperative</t>
  </si>
  <si>
    <t>Light replaced</t>
  </si>
  <si>
    <t>CRS HISTORY</t>
  </si>
  <si>
    <t>Source</t>
  </si>
  <si>
    <t>Risk Score</t>
  </si>
  <si>
    <t>Priority</t>
  </si>
  <si>
    <t>Recommended Action</t>
  </si>
  <si>
    <t>AD NUMBER</t>
  </si>
  <si>
    <t>Calendar Due</t>
  </si>
  <si>
    <t>Calendar due</t>
  </si>
  <si>
    <t xml:space="preserve">Risk score </t>
  </si>
  <si>
    <t xml:space="preserve">priority  </t>
  </si>
  <si>
    <t>Recommended action</t>
  </si>
  <si>
    <t>Due date</t>
  </si>
  <si>
    <t>MAINTENANCE PLANNING</t>
  </si>
  <si>
    <t>Select aircraft:</t>
  </si>
  <si>
    <t>Task / Description</t>
  </si>
  <si>
    <t>Planning Window</t>
  </si>
  <si>
    <t>Planning Score</t>
  </si>
  <si>
    <t>Package</t>
  </si>
  <si>
    <t>Package Start</t>
  </si>
  <si>
    <t>Package End</t>
  </si>
  <si>
    <t>Package ID</t>
  </si>
  <si>
    <t>2026-9321</t>
  </si>
  <si>
    <t>APU Replacement</t>
  </si>
  <si>
    <t>Critical Items</t>
  </si>
  <si>
    <t>Due in 7 Days</t>
  </si>
  <si>
    <t>Due in 30 Days</t>
  </si>
  <si>
    <t>Active Packages</t>
  </si>
  <si>
    <t>Immediate Action</t>
  </si>
  <si>
    <t>Identifier</t>
  </si>
  <si>
    <t>AIRWORTHINESS &amp; MAINTENANCE CONTROL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</si>
</sst>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2"/>
      <color theme="1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4"/>
      <color theme="1"/>
      <name val="Calibri"/>
      <family val="2"/>
    </font>
    <font>
      <sz val="8"/>
      <name val="Calibri"/>
      <family val="2"/>
    </font>
    <font>
      <u/>
      <sz val="12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20"/>
      <color theme="1"/>
      <name val="Calibri"/>
      <family val="2"/>
    </font>
    <font>
      <sz val="28"/>
      <color theme="1"/>
      <name val="Calibri"/>
      <family val="2"/>
    </font>
    <font>
      <b/>
      <sz val="16"/>
      <color theme="1"/>
      <name val="Calibri"/>
      <family val="2"/>
    </font>
    <font>
      <i/>
      <u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/>
    </xf>
    <xf numFmtId="0" fontId="0" fillId="2" borderId="9" xfId="0" applyFill="1" applyBorder="1"/>
    <xf numFmtId="0" fontId="6" fillId="0" borderId="0" xfId="0" applyFont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164" fontId="0" fillId="0" borderId="0" xfId="0" applyNumberFormat="1"/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15" fontId="0" fillId="0" borderId="0" xfId="0" applyNumberFormat="1"/>
    <xf numFmtId="0" fontId="8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</cellXfs>
  <cellStyles count="1">
    <cellStyle name="Normal" xfId="0" builtinId="0"/>
  </cellStyles>
  <dxfs count="2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  <numFmt numFmtId="34" formatCode="_ &quot;₹&quot;\ * #,##0.00_ ;_ &quot;₹&quot;\ * \-#,##0.00_ ;_ &quot;₹&quot;\ * &quot;-&quot;??_ ;_ @_ "/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3300"/>
      <color rgb="FFF8A12C"/>
      <color rgb="FFE8C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0D33A-F86A-4E4C-A722-0A6580E28005}" name="Table1" displayName="Table1" ref="A1:J10" totalsRowShown="0">
  <autoFilter ref="A1:J10" xr:uid="{E100D33A-F86A-4E4C-A722-0A6580E28005}"/>
  <tableColumns count="10">
    <tableColumn id="1" xr3:uid="{9839EBA2-2708-4922-9534-3566628DC626}" name="registration"/>
    <tableColumn id="2" xr3:uid="{024D0F2E-B0D9-45A0-ADD5-BC4224E82D98}" name="Aircraft type"/>
    <tableColumn id="3" xr3:uid="{B53766C6-BE97-483D-B623-BF32767A9ABB}" name="manufacturer"/>
    <tableColumn id="4" xr3:uid="{C2D9D7A9-36E5-4B6A-88BC-714C46743D9C}" name="MSN"/>
    <tableColumn id="5" xr3:uid="{43638925-6B6F-494D-99A3-900781EB05A1}" name="operator"/>
    <tableColumn id="6" xr3:uid="{8EC99F14-C012-49B3-BE0C-7483E740881B}" name="Base "/>
    <tableColumn id="7" xr3:uid="{F49E5733-1956-4D27-AFAD-9C8D67F0B4ED}" name="Engine type "/>
    <tableColumn id="8" xr3:uid="{F5E5615D-48B5-4621-8758-43D44A18B12E}" name="Engine serial "/>
    <tableColumn id="9" xr3:uid="{0F7489AC-3632-4402-BAEC-FB6FD51654CB}" name="APU Serial "/>
    <tableColumn id="10" xr3:uid="{CC532DD5-427D-4AE1-ACAE-65CDF5BC2F32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9CB8D-ACAC-4EEC-9E47-538DD8E6A5EA}" name="AD_Table" displayName="AD_Table" ref="A1:J11" totalsRowShown="0">
  <autoFilter ref="A1:J11" xr:uid="{26D9CB8D-ACAC-4EEC-9E47-538DD8E6A5EA}"/>
  <tableColumns count="10">
    <tableColumn id="10" xr3:uid="{1396C990-3214-4C93-BAE5-ACBBB36961B3}" name="Registration"/>
    <tableColumn id="1" xr3:uid="{BDC742C3-D3CA-4445-A02B-4328E3DB8831}" name="AD NUMBER"/>
    <tableColumn id="2" xr3:uid="{1B6F75AC-DA78-4202-A694-0B34B1860387}" name="AUTHORITY"/>
    <tableColumn id="3" xr3:uid="{71BE134C-C49E-44F7-BDB9-3EAD2766B6C4}" name="DESCRIPTION"/>
    <tableColumn id="4" xr3:uid="{329EA282-5BE8-43EE-86E6-AD4250D3DB60}" name="EFFECTIVE DATE"/>
    <tableColumn id="5" xr3:uid="{86FBE05C-3D01-482F-B823-5F21FDE94667}" name="COMPLIANCE METHOD"/>
    <tableColumn id="6" xr3:uid="{4B61F8B6-30B8-451E-B330-2638B4BB0667}" name="DUE DATE"/>
    <tableColumn id="7" xr3:uid="{7755DDEF-87B3-4E70-85F4-CD9C48CE8EDF}" name="COMPLIANCE DATE"/>
    <tableColumn id="8" xr3:uid="{1A4A2EDF-7B0E-4D09-A9CD-AA12E7037514}" name="STATUS"/>
    <tableColumn id="9" xr3:uid="{65D4DAAB-EFB9-431B-8AA3-F86E5AF6A6A1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073C75-CB99-4FEF-BB33-27C6BB0E7EFD}" name="Deferred_Table" displayName="Deferred_Table" ref="A1:H10" totalsRowShown="0">
  <autoFilter ref="A1:H10" xr:uid="{F0073C75-CB99-4FEF-BB33-27C6BB0E7EFD}"/>
  <tableColumns count="8">
    <tableColumn id="8" xr3:uid="{6A07BED2-EEA2-4E88-8EBD-3D74F83CBFA4}" name="Registration"/>
    <tableColumn id="1" xr3:uid="{B1CDF9DB-127E-44EA-9025-BCA45AD84344}" name="Defect ID"/>
    <tableColumn id="2" xr3:uid="{15F1FDA9-C61A-40B1-B288-6887A3E01FFF}" name="Description"/>
    <tableColumn id="3" xr3:uid="{6DA597A3-B872-4F23-BAD8-1243C284B7BB}" name="MEL category"/>
    <tableColumn id="4" xr3:uid="{3B1D51D1-AA55-4CBE-8A9A-2F01A9443ABE}" name="Date raised"/>
    <tableColumn id="5" xr3:uid="{C3B85FB6-0EE8-4567-9487-07A067DC120C}" name="Due date"/>
    <tableColumn id="6" xr3:uid="{82985887-91D8-482C-8A72-BFB90B969DEA}" name="Engineer"/>
    <tableColumn id="7" xr3:uid="{88D9D6B3-FD8A-4A4F-9B0D-F25F3941A89B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F16D14-418D-4F52-883A-CB4924874917}" name="AMP_Table" displayName="AMP_Table" ref="A1:I10" totalsRowShown="0">
  <autoFilter ref="A1:I10" xr:uid="{C2F16D14-418D-4F52-883A-CB4924874917}"/>
  <tableColumns count="9">
    <tableColumn id="9" xr3:uid="{CBE6DFEE-2C63-400B-A846-2F6C960EDCD3}" name="Registration"/>
    <tableColumn id="1" xr3:uid="{33775AAB-D882-48B0-94A9-D004917774B1}" name="Task ID"/>
    <tableColumn id="2" xr3:uid="{7495231E-1A25-4CDD-B3AF-15C36030F4EB}" name="Task name"/>
    <tableColumn id="3" xr3:uid="{6FD4E5F0-24B6-4E69-945A-079A18794D79}" name="FH due "/>
    <tableColumn id="4" xr3:uid="{EF060286-2FDC-4618-A63C-FBF371B71083}" name="FC due "/>
    <tableColumn id="5" xr3:uid="{ED340044-C77A-41C0-ADBB-B0626D0556FA}" name="Calendar due"/>
    <tableColumn id="6" xr3:uid="{B8E83C07-26D0-4624-86C1-FDE12F89883F}" name="Last done FH"/>
    <tableColumn id="7" xr3:uid="{EB358B14-4EC4-4EB0-BFEE-C9BC3A50133C}" name="Last done FC"/>
    <tableColumn id="8" xr3:uid="{92CA02BA-E067-4F05-A2C8-B212CB4CF06E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0AF51E-5325-4206-9B67-45DD02C42D9F}" name="CRS_Table" displayName="CRS_Table" ref="A1:G11" totalsRowShown="0">
  <autoFilter ref="A1:G11" xr:uid="{480AF51E-5325-4206-9B67-45DD02C42D9F}"/>
  <tableColumns count="7">
    <tableColumn id="7" xr3:uid="{1EEE5D51-B7C7-4B71-AAEB-CCB202D751C2}" name="Registration"/>
    <tableColumn id="1" xr3:uid="{5C1B910D-1336-49A5-A3C5-DA17E6D6635F}" name="Maintenace date"/>
    <tableColumn id="2" xr3:uid="{AA52DE91-E6DA-4CDC-BFF6-B9261241BD32}" name="Maintenace type "/>
    <tableColumn id="3" xr3:uid="{2DECC472-8347-498E-AF3A-4C1A5E2CB3C5}" name="Organisation "/>
    <tableColumn id="4" xr3:uid="{F67F42C3-F3B2-4671-8C20-00641D5DAE65}" name="CRS NO. "/>
    <tableColumn id="5" xr3:uid="{9A4DE17C-1EA7-4702-8885-9CD9CB23B86B}" name="Engineer"/>
    <tableColumn id="6" xr3:uid="{7A05816F-FFFC-4F1E-BCF7-344E37B0D774}" name="Next d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950C3F-C216-4E90-AFB3-CE5AE6CB541C}" name="TechLog_Table" displayName="TechLog_Table" ref="A1:H11" totalsRowShown="0">
  <autoFilter ref="A1:H11" xr:uid="{03950C3F-C216-4E90-AFB3-CE5AE6CB541C}"/>
  <tableColumns count="8">
    <tableColumn id="8" xr3:uid="{5E7C0471-AA0E-493A-AFC8-9C7D3E29623C}" name="Registration"/>
    <tableColumn id="1" xr3:uid="{2723494E-2F85-416C-AFD5-82997019E2B1}" name="Date "/>
    <tableColumn id="2" xr3:uid="{45212D8B-B667-4659-ABF8-05E8743AE94A}" name="Flight NO."/>
    <tableColumn id="3" xr3:uid="{9D5778EA-1E8C-43B4-B2AD-20F8FE787580}" name="sector"/>
    <tableColumn id="4" xr3:uid="{E1205561-BA46-4414-960E-6AF2F24A1C81}" name="Defect reported"/>
    <tableColumn id="5" xr3:uid="{574713DB-1088-41F3-9A0C-0D46A2E9DB36}" name="Action taken"/>
    <tableColumn id="6" xr3:uid="{0420FEA8-4283-4FD3-BD96-149CDD1E4684}" name="Engineer"/>
    <tableColumn id="7" xr3:uid="{8EE3B1D6-C90D-4C9D-8322-D9011896ACCE}" name="Aircraft releas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001318-FE17-451C-BE8A-97BD2E80EF13}" name="LLP­­­­_Table" displayName="LLP­­­­_Table" ref="A1:I11" totalsRowShown="0">
  <autoFilter ref="A1:I11" xr:uid="{31001318-FE17-451C-BE8A-97BD2E80EF13}"/>
  <tableColumns count="9">
    <tableColumn id="9" xr3:uid="{F7FCC306-26FA-44B8-B67A-9C35B0BD5DE5}" name="Registration"/>
    <tableColumn id="1" xr3:uid="{C4AF0D3D-C3DD-41F6-AA76-A928C9A41D6E}" name="Part NO."/>
    <tableColumn id="2" xr3:uid="{A829528B-CDA2-47E5-A0D4-C1F7DBA95329}" name="Serial no."/>
    <tableColumn id="3" xr3:uid="{6605D150-7C24-4934-9AB0-35A7F9BC491E}" name="Component"/>
    <tableColumn id="4" xr3:uid="{FC43C93B-B165-4BCE-8864-0C500BD4DB95}" name="Installed on"/>
    <tableColumn id="5" xr3:uid="{F25974E1-DFEA-4DBC-8D57-BF77D0E05AA1}" name="Life limit"/>
    <tableColumn id="6" xr3:uid="{AFFCEAA7-53C4-4770-AA55-61DD66F2C5D3}" name="Current cycles"/>
    <tableColumn id="7" xr3:uid="{FD83B340-34C9-4315-8501-94A543633468}" name="remaining cycles">
      <calculatedColumnFormula>LLP­­­­_Table[[#This Row],[Life limit]]-LLP­­­­_Table[[#This Row],[Current cycles]]</calculatedColumnFormula>
    </tableColumn>
    <tableColumn id="8" xr3:uid="{F0E1B128-F91F-4368-827F-254735091228}" name="Status">
      <calculatedColumnFormula>IF(LLP­­­­_Table[[#This Row],[remaining cycles]]&lt;1000,"Urgent Replacement",IF(LLP­­­­_Table[[#This Row],[remaining cycles]]&lt;2500,"Plan replacement",IF(LLP­­­­_Table[[#This Row],[remaining cycles]]&lt;5000,"Monitor","normal")))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B11B-E1DB-498A-BD38-D52C93414ED1}">
  <dimension ref="A1:AF36"/>
  <sheetViews>
    <sheetView showGridLines="0" zoomScale="60" zoomScaleNormal="60" workbookViewId="0">
      <selection activeCell="D3" sqref="D3:E4"/>
    </sheetView>
  </sheetViews>
  <sheetFormatPr defaultRowHeight="15.6" x14ac:dyDescent="0.3"/>
  <cols>
    <col min="17" max="17" width="18.5" bestFit="1" customWidth="1"/>
  </cols>
  <sheetData>
    <row r="1" spans="1:32" ht="15.6" customHeight="1" x14ac:dyDescent="0.3">
      <c r="A1" s="24" t="s">
        <v>338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16.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6.2" customHeight="1" x14ac:dyDescent="0.6">
      <c r="A3" s="30" t="s">
        <v>272</v>
      </c>
      <c r="B3" s="30"/>
      <c r="C3" s="30"/>
      <c r="D3" s="31" t="s">
        <v>259</v>
      </c>
      <c r="E3" s="3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32" ht="16.2" customHeight="1" x14ac:dyDescent="0.6">
      <c r="A4" s="30"/>
      <c r="B4" s="30"/>
      <c r="C4" s="30"/>
      <c r="D4" s="31"/>
      <c r="E4" s="3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32" ht="16.2" customHeight="1" x14ac:dyDescent="0.6">
      <c r="A5" s="74" t="s">
        <v>274</v>
      </c>
      <c r="B5" s="74"/>
      <c r="C5" s="74"/>
      <c r="D5" s="74"/>
      <c r="E5" s="1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32" ht="16.2" customHeight="1" x14ac:dyDescent="0.6">
      <c r="A6" s="74"/>
      <c r="B6" s="74"/>
      <c r="C6" s="74"/>
      <c r="D6" s="74"/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32" ht="23.4" customHeight="1" x14ac:dyDescent="0.6">
      <c r="A7" s="73" t="s">
        <v>249</v>
      </c>
      <c r="B7" s="73"/>
      <c r="C7" s="75" t="str">
        <f>_xlfn.XLOOKUP($D$3,'Aircraft INFORMATION'!$A$2:$A$10,'Aircraft INFORMATION'!$A$2:$A$10,"not found")</f>
        <v>VT-ABC</v>
      </c>
      <c r="D7" s="75"/>
      <c r="E7" s="1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32" ht="22.2" customHeight="1" x14ac:dyDescent="0.6">
      <c r="A8" s="73" t="s">
        <v>275</v>
      </c>
      <c r="B8" s="73"/>
      <c r="C8" s="75" t="str">
        <f>_xlfn.XLOOKUP(D3,'Aircraft INFORMATION'!A2:A10,'Aircraft INFORMATION'!B2:B10,"not found")</f>
        <v>A320neo</v>
      </c>
      <c r="D8" s="75"/>
      <c r="E8" s="13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32" ht="22.2" customHeight="1" x14ac:dyDescent="0.6">
      <c r="A9" s="73" t="s">
        <v>276</v>
      </c>
      <c r="B9" s="73"/>
      <c r="C9" s="75" t="str">
        <f>_xlfn.XLOOKUP(D3,'Aircraft INFORMATION'!A2:A10,'Aircraft INFORMATION'!C2:C10,"not found")</f>
        <v>Airbus</v>
      </c>
      <c r="D9" s="75"/>
      <c r="E9" s="1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32" ht="23.4" customHeight="1" x14ac:dyDescent="0.6">
      <c r="A10" s="73" t="s">
        <v>278</v>
      </c>
      <c r="B10" s="73"/>
      <c r="C10" s="75">
        <f>_xlfn.XLOOKUP(D3,'Aircraft INFORMATION'!A2:A10,'Aircraft INFORMATION'!D2:D10,"not found")</f>
        <v>11234</v>
      </c>
      <c r="D10" s="75"/>
      <c r="E10" s="13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32" ht="19.2" customHeight="1" x14ac:dyDescent="0.6">
      <c r="A11" s="73" t="s">
        <v>279</v>
      </c>
      <c r="B11" s="73"/>
      <c r="C11" s="75" t="str">
        <f>_xlfn.XLOOKUP(D3,'Aircraft INFORMATION'!A2:A10,'Aircraft INFORMATION'!E2:E10,"not found")</f>
        <v>Air India</v>
      </c>
      <c r="D11" s="75"/>
      <c r="E11" s="1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32" ht="21" customHeight="1" x14ac:dyDescent="0.6">
      <c r="A12" s="73" t="s">
        <v>277</v>
      </c>
      <c r="B12" s="73"/>
      <c r="C12" s="75" t="str">
        <f>_xlfn.XLOOKUP(D3,'Aircraft INFORMATION'!A2:A10,'Aircraft INFORMATION'!F2:F10,"not found")</f>
        <v>Delhi</v>
      </c>
      <c r="D12" s="75"/>
      <c r="E12" s="13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32" ht="23.4" customHeight="1" x14ac:dyDescent="0.6">
      <c r="A13" s="73" t="s">
        <v>280</v>
      </c>
      <c r="B13" s="73"/>
      <c r="C13" s="75" t="str">
        <f>_xlfn.XLOOKUP(D3,'Aircraft INFORMATION'!A2:A10,'Aircraft INFORMATION'!G2:G10,"not found")</f>
        <v>LEAP-1A26</v>
      </c>
      <c r="D13" s="75"/>
      <c r="E13" s="13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32" ht="22.2" customHeight="1" x14ac:dyDescent="0.6">
      <c r="A14" s="73" t="s">
        <v>281</v>
      </c>
      <c r="B14" s="73"/>
      <c r="C14" s="75" t="str">
        <f>_xlfn.XLOOKUP(D3,'Aircraft INFORMATION'!A2:A10,'Aircraft INFORMATION'!H2:H10,"not found")</f>
        <v>ESN006</v>
      </c>
      <c r="D14" s="75"/>
      <c r="E14" s="13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32" ht="20.399999999999999" customHeight="1" x14ac:dyDescent="0.6">
      <c r="A15" s="73" t="s">
        <v>282</v>
      </c>
      <c r="B15" s="73"/>
      <c r="C15" s="75" t="str">
        <f>_xlfn.XLOOKUP(D3,'Aircraft INFORMATION'!A2:A10,'Aircraft INFORMATION'!I2:I10,"not found")</f>
        <v>APS006</v>
      </c>
      <c r="D15" s="75"/>
      <c r="E15" s="13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32" ht="27" customHeight="1" thickBot="1" x14ac:dyDescent="0.65">
      <c r="A16" s="73" t="s">
        <v>9</v>
      </c>
      <c r="B16" s="73"/>
      <c r="C16" s="63" t="str">
        <f>_xlfn.XLOOKUP(D3,'Aircraft INFORMATION'!A2:A10,'Aircraft INFORMATION'!J2:J10,"not found")</f>
        <v>Active</v>
      </c>
      <c r="D16" s="63"/>
      <c r="E16" s="13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5.6" customHeight="1" x14ac:dyDescent="0.3">
      <c r="A17" s="50" t="s">
        <v>72</v>
      </c>
      <c r="B17" s="51"/>
      <c r="C17" s="51"/>
      <c r="D17" s="52"/>
      <c r="F17" s="41" t="s">
        <v>73</v>
      </c>
      <c r="G17" s="59"/>
      <c r="H17" s="59"/>
      <c r="I17" s="27"/>
      <c r="K17" s="41" t="s">
        <v>75</v>
      </c>
      <c r="L17" s="59"/>
      <c r="M17" s="59"/>
      <c r="N17" s="27"/>
      <c r="P17" s="41" t="s">
        <v>76</v>
      </c>
      <c r="Q17" s="59"/>
      <c r="R17" s="59"/>
      <c r="S17" s="27"/>
    </row>
    <row r="18" spans="1:19" ht="15.6" customHeight="1" x14ac:dyDescent="0.3">
      <c r="A18" s="53"/>
      <c r="B18" s="54"/>
      <c r="C18" s="54"/>
      <c r="D18" s="55"/>
      <c r="F18" s="60"/>
      <c r="G18" s="61"/>
      <c r="H18" s="61"/>
      <c r="I18" s="62"/>
      <c r="K18" s="60"/>
      <c r="L18" s="61"/>
      <c r="M18" s="61"/>
      <c r="N18" s="62"/>
      <c r="P18" s="60"/>
      <c r="Q18" s="61"/>
      <c r="R18" s="61"/>
      <c r="S18" s="62"/>
    </row>
    <row r="19" spans="1:19" ht="16.2" customHeight="1" thickBot="1" x14ac:dyDescent="0.35">
      <c r="A19" s="56"/>
      <c r="B19" s="57"/>
      <c r="C19" s="57"/>
      <c r="D19" s="58"/>
      <c r="F19" s="28"/>
      <c r="G19" s="63"/>
      <c r="H19" s="63"/>
      <c r="I19" s="29"/>
      <c r="K19" s="28"/>
      <c r="L19" s="63"/>
      <c r="M19" s="63"/>
      <c r="N19" s="29"/>
      <c r="P19" s="28"/>
      <c r="Q19" s="63"/>
      <c r="R19" s="63"/>
      <c r="S19" s="29"/>
    </row>
    <row r="20" spans="1:19" ht="15.6" customHeight="1" x14ac:dyDescent="0.3">
      <c r="A20" s="41">
        <f>COUNTA('Aircraft INFORMATION'!A2:A13)</f>
        <v>9</v>
      </c>
      <c r="B20" s="42"/>
      <c r="C20" s="42"/>
      <c r="D20" s="43"/>
      <c r="F20" s="41">
        <f>COUNTIFS(AD_Status!A2:A11,DASHBOARD!D3,AD_Status!I2:I11,"open")</f>
        <v>0</v>
      </c>
      <c r="G20" s="42"/>
      <c r="H20" s="42"/>
      <c r="I20" s="43"/>
      <c r="K20" s="64">
        <f>COUNTIFS(AD_Status!A2:A11,DASHBOARD!D3,AD_Status!I2:I11,"Overdue")</f>
        <v>1</v>
      </c>
      <c r="L20" s="65"/>
      <c r="M20" s="65"/>
      <c r="N20" s="66"/>
      <c r="P20" s="41">
        <f>COUNTIFS('Defered Defects'!A2:A10,DASHBOARD!D3,'Defered Defects'!H2:H10,"Deferred")</f>
        <v>1</v>
      </c>
      <c r="Q20" s="42"/>
      <c r="R20" s="42"/>
      <c r="S20" s="43"/>
    </row>
    <row r="21" spans="1:19" ht="15.6" customHeight="1" x14ac:dyDescent="0.3">
      <c r="A21" s="44"/>
      <c r="B21" s="45"/>
      <c r="C21" s="45"/>
      <c r="D21" s="46"/>
      <c r="F21" s="44"/>
      <c r="G21" s="45"/>
      <c r="H21" s="45"/>
      <c r="I21" s="46"/>
      <c r="K21" s="67"/>
      <c r="L21" s="68"/>
      <c r="M21" s="68"/>
      <c r="N21" s="69"/>
      <c r="P21" s="44"/>
      <c r="Q21" s="45"/>
      <c r="R21" s="45"/>
      <c r="S21" s="46"/>
    </row>
    <row r="22" spans="1:19" ht="16.2" customHeight="1" thickBot="1" x14ac:dyDescent="0.35">
      <c r="A22" s="47"/>
      <c r="B22" s="48"/>
      <c r="C22" s="48"/>
      <c r="D22" s="49"/>
      <c r="F22" s="47"/>
      <c r="G22" s="48"/>
      <c r="H22" s="48"/>
      <c r="I22" s="49"/>
      <c r="K22" s="70"/>
      <c r="L22" s="71"/>
      <c r="M22" s="71"/>
      <c r="N22" s="72"/>
      <c r="P22" s="47"/>
      <c r="Q22" s="48"/>
      <c r="R22" s="48"/>
      <c r="S22" s="49"/>
    </row>
    <row r="23" spans="1:19" ht="16.2" thickBot="1" x14ac:dyDescent="0.35"/>
    <row r="24" spans="1:19" ht="15.6" customHeight="1" x14ac:dyDescent="0.3">
      <c r="A24" s="32" t="s">
        <v>77</v>
      </c>
      <c r="B24" s="33"/>
      <c r="C24" s="33"/>
      <c r="D24" s="34"/>
      <c r="F24" s="32" t="s">
        <v>78</v>
      </c>
      <c r="G24" s="33"/>
      <c r="H24" s="33"/>
      <c r="I24" s="34"/>
    </row>
    <row r="25" spans="1:19" ht="15.6" customHeight="1" x14ac:dyDescent="0.3">
      <c r="A25" s="35"/>
      <c r="B25" s="36"/>
      <c r="C25" s="36"/>
      <c r="D25" s="37"/>
      <c r="F25" s="35"/>
      <c r="G25" s="36"/>
      <c r="H25" s="36"/>
      <c r="I25" s="37"/>
    </row>
    <row r="26" spans="1:19" ht="16.2" customHeight="1" thickBot="1" x14ac:dyDescent="0.35">
      <c r="A26" s="38"/>
      <c r="B26" s="39"/>
      <c r="C26" s="39"/>
      <c r="D26" s="40"/>
      <c r="F26" s="38"/>
      <c r="G26" s="39"/>
      <c r="H26" s="39"/>
      <c r="I26" s="40"/>
    </row>
    <row r="27" spans="1:19" ht="15.6" customHeight="1" x14ac:dyDescent="0.3">
      <c r="A27" s="41">
        <f>COUNTIFS('Life limited parts'!A2:A11,DASHBOARD!D3,'Life limited parts'!I2:I11,"Urgent Replacement")</f>
        <v>0</v>
      </c>
      <c r="B27" s="42"/>
      <c r="C27" s="42"/>
      <c r="D27" s="43"/>
      <c r="F27" s="41">
        <f>COUNTIFS(AMP!A2:A10,DASHBOARD!D3,AMP!I2:I10,"Due Soon")</f>
        <v>0</v>
      </c>
      <c r="G27" s="42"/>
      <c r="H27" s="42"/>
      <c r="I27" s="43"/>
    </row>
    <row r="28" spans="1:19" ht="15.6" customHeight="1" x14ac:dyDescent="0.3">
      <c r="A28" s="44"/>
      <c r="B28" s="45"/>
      <c r="C28" s="45"/>
      <c r="D28" s="46"/>
      <c r="F28" s="44"/>
      <c r="G28" s="45"/>
      <c r="H28" s="45"/>
      <c r="I28" s="46"/>
    </row>
    <row r="29" spans="1:19" ht="16.2" customHeight="1" thickBot="1" x14ac:dyDescent="0.35">
      <c r="A29" s="47"/>
      <c r="B29" s="48"/>
      <c r="C29" s="48"/>
      <c r="D29" s="49"/>
      <c r="F29" s="47"/>
      <c r="G29" s="48"/>
      <c r="H29" s="48"/>
      <c r="I29" s="49"/>
    </row>
    <row r="32" spans="1:19" ht="22.8" customHeight="1" thickBot="1" x14ac:dyDescent="0.55000000000000004">
      <c r="A32" s="25" t="s">
        <v>321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spans="1:14" x14ac:dyDescent="0.3">
      <c r="A33" s="26" t="s">
        <v>332</v>
      </c>
      <c r="B33" s="27"/>
      <c r="D33" s="26" t="s">
        <v>333</v>
      </c>
      <c r="E33" s="27"/>
      <c r="G33" s="26" t="s">
        <v>334</v>
      </c>
      <c r="H33" s="27"/>
      <c r="J33" s="26" t="s">
        <v>335</v>
      </c>
      <c r="K33" s="27"/>
      <c r="M33" s="26" t="s">
        <v>336</v>
      </c>
      <c r="N33" s="27"/>
    </row>
    <row r="34" spans="1:14" ht="16.2" thickBot="1" x14ac:dyDescent="0.35">
      <c r="A34" s="28"/>
      <c r="B34" s="29"/>
      <c r="D34" s="28"/>
      <c r="E34" s="29"/>
      <c r="G34" s="28"/>
      <c r="H34" s="29"/>
      <c r="J34" s="28"/>
      <c r="K34" s="29"/>
      <c r="M34" s="28"/>
      <c r="N34" s="29"/>
    </row>
    <row r="35" spans="1:14" x14ac:dyDescent="0.3">
      <c r="A35" s="26">
        <f>COUNTIFS('MAINTENANCE PLANNING'!$A$6:$A$1000,$D$3,'MAINTENANCE PLANNING'!$G$6:$G$1000,"CRITICAL")</f>
        <v>1</v>
      </c>
      <c r="B35" s="27"/>
      <c r="D35" s="26">
        <f ca="1">COUNTIFS('MAINTENANCE PLANNING'!$A$6:$A$1000,$D$3,'MAINTENANCE PLANNING'!$E$6:$E$1000,"&gt;="&amp;TODAY(),'MAINTENANCE PLANNING'!$E$6:$E$1000,"&lt;="&amp;TODAY()+7)</f>
        <v>0</v>
      </c>
      <c r="E35" s="27"/>
      <c r="G35" s="26">
        <f ca="1">COUNTIFS('MAINTENANCE PLANNING'!$A$6:$A$1000,$D$3,'MAINTENANCE PLANNING'!$E$6:$E$1000,"&gt;="&amp;TODAY(),'MAINTENANCE PLANNING'!$E$6:$E$1000,"&lt;="&amp;TODAY()+30)</f>
        <v>0</v>
      </c>
      <c r="H35" s="27"/>
      <c r="J35" s="26">
        <f ca="1">COUNTIF('MAINTENANCE PACKAGING'!H2:H100,"?*")</f>
        <v>1</v>
      </c>
      <c r="K35" s="27"/>
      <c r="M35" s="26">
        <f ca="1">COUNTIF('MAINTENANCE PLANNING'!H6:H100,"IMMEDIATE ACTION")</f>
        <v>1</v>
      </c>
      <c r="N35" s="27"/>
    </row>
    <row r="36" spans="1:14" ht="16.2" thickBot="1" x14ac:dyDescent="0.35">
      <c r="A36" s="28"/>
      <c r="B36" s="29"/>
      <c r="D36" s="28"/>
      <c r="E36" s="29"/>
      <c r="G36" s="28"/>
      <c r="H36" s="29"/>
      <c r="J36" s="28"/>
      <c r="K36" s="29"/>
      <c r="M36" s="28"/>
      <c r="N36" s="29"/>
    </row>
  </sheetData>
  <sheetProtection selectLockedCells="1"/>
  <mergeCells count="47">
    <mergeCell ref="A11:B11"/>
    <mergeCell ref="A12:B12"/>
    <mergeCell ref="A13:B13"/>
    <mergeCell ref="A5:D6"/>
    <mergeCell ref="C7:D7"/>
    <mergeCell ref="C8:D8"/>
    <mergeCell ref="C9:D9"/>
    <mergeCell ref="C10:D10"/>
    <mergeCell ref="A10:B10"/>
    <mergeCell ref="K17:N19"/>
    <mergeCell ref="K20:N22"/>
    <mergeCell ref="P17:S19"/>
    <mergeCell ref="P20:S22"/>
    <mergeCell ref="A7:B7"/>
    <mergeCell ref="A8:B8"/>
    <mergeCell ref="A9:B9"/>
    <mergeCell ref="A14:B14"/>
    <mergeCell ref="C11:D11"/>
    <mergeCell ref="C12:D12"/>
    <mergeCell ref="C13:D13"/>
    <mergeCell ref="C14:D14"/>
    <mergeCell ref="C15:D15"/>
    <mergeCell ref="C16:D16"/>
    <mergeCell ref="A15:B15"/>
    <mergeCell ref="A16:B16"/>
    <mergeCell ref="F24:I26"/>
    <mergeCell ref="F27:I29"/>
    <mergeCell ref="A17:D19"/>
    <mergeCell ref="A20:D22"/>
    <mergeCell ref="F17:I19"/>
    <mergeCell ref="F20:I22"/>
    <mergeCell ref="A1:AF2"/>
    <mergeCell ref="A32:Q32"/>
    <mergeCell ref="A33:B34"/>
    <mergeCell ref="A35:B36"/>
    <mergeCell ref="D33:E34"/>
    <mergeCell ref="G33:H34"/>
    <mergeCell ref="J33:K34"/>
    <mergeCell ref="M33:N34"/>
    <mergeCell ref="D35:E36"/>
    <mergeCell ref="G35:H36"/>
    <mergeCell ref="J35:K36"/>
    <mergeCell ref="M35:N36"/>
    <mergeCell ref="A3:C4"/>
    <mergeCell ref="D3:E4"/>
    <mergeCell ref="A24:D26"/>
    <mergeCell ref="A27:D2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E270EF-D18E-4310-B5C7-4E5FCCFE66B0}">
          <x14:formula1>
            <xm:f>'Aircraft INFORMATION'!$A$2:$A$10</xm:f>
          </x14:formula1>
          <xm:sqref>D3:E4 E15:E16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B4B-5C10-459A-B415-3EDF5EFB9D05}">
  <dimension ref="A1:J10"/>
  <sheetViews>
    <sheetView workbookViewId="0">
      <selection activeCell="J13" sqref="J13"/>
    </sheetView>
  </sheetViews>
  <sheetFormatPr defaultRowHeight="15.6" x14ac:dyDescent="0.3"/>
  <cols>
    <col min="1" max="1" width="12.296875" customWidth="1"/>
    <col min="2" max="2" width="13" customWidth="1"/>
    <col min="3" max="3" width="14" customWidth="1"/>
    <col min="5" max="5" width="12.8984375" customWidth="1"/>
    <col min="6" max="6" width="13.296875" customWidth="1"/>
    <col min="7" max="7" width="12.8984375" customWidth="1"/>
    <col min="8" max="8" width="13.69921875" customWidth="1"/>
    <col min="9" max="9" width="11.796875" customWidth="1"/>
    <col min="10" max="10" width="12.09765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" t="s">
        <v>255</v>
      </c>
      <c r="B2" s="3" t="s">
        <v>96</v>
      </c>
      <c r="C2" s="3" t="s">
        <v>10</v>
      </c>
      <c r="D2" s="2">
        <v>4546</v>
      </c>
      <c r="E2" s="3" t="s">
        <v>11</v>
      </c>
      <c r="F2" s="3" t="s">
        <v>12</v>
      </c>
      <c r="G2" s="3" t="s">
        <v>13</v>
      </c>
      <c r="H2" s="3" t="s">
        <v>97</v>
      </c>
      <c r="I2" s="3" t="s">
        <v>98</v>
      </c>
      <c r="J2" s="3" t="s">
        <v>79</v>
      </c>
    </row>
    <row r="3" spans="1:10" x14ac:dyDescent="0.3">
      <c r="A3" s="8" t="s">
        <v>256</v>
      </c>
      <c r="B3" s="3" t="s">
        <v>96</v>
      </c>
      <c r="C3" s="3" t="s">
        <v>10</v>
      </c>
      <c r="D3" s="2">
        <v>4547</v>
      </c>
      <c r="E3" s="3" t="s">
        <v>11</v>
      </c>
      <c r="F3" s="3" t="s">
        <v>12</v>
      </c>
      <c r="G3" s="3" t="s">
        <v>13</v>
      </c>
      <c r="H3" s="3" t="s">
        <v>99</v>
      </c>
      <c r="I3" s="3" t="s">
        <v>100</v>
      </c>
      <c r="J3" s="3" t="s">
        <v>79</v>
      </c>
    </row>
    <row r="4" spans="1:10" x14ac:dyDescent="0.3">
      <c r="A4" s="8" t="s">
        <v>257</v>
      </c>
      <c r="B4" s="3" t="s">
        <v>101</v>
      </c>
      <c r="C4" s="3" t="s">
        <v>102</v>
      </c>
      <c r="D4" s="2">
        <v>198</v>
      </c>
      <c r="E4" s="3" t="s">
        <v>11</v>
      </c>
      <c r="F4" s="3" t="s">
        <v>12</v>
      </c>
      <c r="G4" s="3" t="s">
        <v>103</v>
      </c>
      <c r="H4" s="3" t="s">
        <v>104</v>
      </c>
      <c r="I4" s="3" t="s">
        <v>105</v>
      </c>
      <c r="J4" s="3" t="s">
        <v>79</v>
      </c>
    </row>
    <row r="5" spans="1:10" ht="27" customHeight="1" x14ac:dyDescent="0.3">
      <c r="A5" s="8" t="s">
        <v>258</v>
      </c>
      <c r="B5" s="3" t="s">
        <v>101</v>
      </c>
      <c r="C5" s="3" t="s">
        <v>102</v>
      </c>
      <c r="D5" s="2">
        <v>199</v>
      </c>
      <c r="E5" s="3" t="s">
        <v>11</v>
      </c>
      <c r="F5" s="3" t="s">
        <v>12</v>
      </c>
      <c r="G5" s="3" t="s">
        <v>103</v>
      </c>
      <c r="H5" s="3" t="s">
        <v>106</v>
      </c>
      <c r="I5" s="3" t="s">
        <v>107</v>
      </c>
      <c r="J5" s="3" t="s">
        <v>108</v>
      </c>
    </row>
    <row r="6" spans="1:10" x14ac:dyDescent="0.3">
      <c r="A6" s="3" t="s">
        <v>259</v>
      </c>
      <c r="B6" s="3" t="s">
        <v>109</v>
      </c>
      <c r="C6" s="3" t="s">
        <v>102</v>
      </c>
      <c r="D6" s="2">
        <v>11234</v>
      </c>
      <c r="E6" s="3" t="s">
        <v>110</v>
      </c>
      <c r="F6" s="3" t="s">
        <v>111</v>
      </c>
      <c r="G6" s="3" t="s">
        <v>112</v>
      </c>
      <c r="H6" s="3" t="s">
        <v>113</v>
      </c>
      <c r="I6" s="3" t="s">
        <v>114</v>
      </c>
      <c r="J6" s="3" t="s">
        <v>79</v>
      </c>
    </row>
    <row r="7" spans="1:10" x14ac:dyDescent="0.3">
      <c r="A7" s="3" t="s">
        <v>260</v>
      </c>
      <c r="B7" s="3" t="s">
        <v>115</v>
      </c>
      <c r="C7" s="3" t="s">
        <v>10</v>
      </c>
      <c r="D7" s="2">
        <v>36215</v>
      </c>
      <c r="E7" s="3" t="s">
        <v>110</v>
      </c>
      <c r="F7" s="3" t="s">
        <v>116</v>
      </c>
      <c r="G7" s="3" t="s">
        <v>117</v>
      </c>
      <c r="H7" s="3" t="s">
        <v>118</v>
      </c>
      <c r="I7" s="3" t="s">
        <v>119</v>
      </c>
      <c r="J7" s="3" t="s">
        <v>79</v>
      </c>
    </row>
    <row r="8" spans="1:10" x14ac:dyDescent="0.3">
      <c r="A8" s="3" t="s">
        <v>261</v>
      </c>
      <c r="B8" s="3" t="s">
        <v>120</v>
      </c>
      <c r="C8" s="3" t="s">
        <v>102</v>
      </c>
      <c r="D8" s="2">
        <v>10356</v>
      </c>
      <c r="E8" s="3" t="s">
        <v>121</v>
      </c>
      <c r="F8" s="3" t="s">
        <v>122</v>
      </c>
      <c r="G8" s="3" t="s">
        <v>123</v>
      </c>
      <c r="H8" s="3" t="s">
        <v>124</v>
      </c>
      <c r="I8" s="3" t="s">
        <v>125</v>
      </c>
      <c r="J8" s="3" t="s">
        <v>79</v>
      </c>
    </row>
    <row r="9" spans="1:10" ht="31.2" x14ac:dyDescent="0.3">
      <c r="A9" s="3" t="s">
        <v>262</v>
      </c>
      <c r="B9" s="3" t="s">
        <v>109</v>
      </c>
      <c r="C9" s="3" t="s">
        <v>102</v>
      </c>
      <c r="D9" s="2">
        <v>10478</v>
      </c>
      <c r="E9" s="3" t="s">
        <v>121</v>
      </c>
      <c r="F9" s="3" t="s">
        <v>126</v>
      </c>
      <c r="G9" s="3" t="s">
        <v>112</v>
      </c>
      <c r="H9" s="3" t="s">
        <v>127</v>
      </c>
      <c r="I9" s="3" t="s">
        <v>128</v>
      </c>
      <c r="J9" s="3" t="s">
        <v>108</v>
      </c>
    </row>
    <row r="10" spans="1:10" x14ac:dyDescent="0.3">
      <c r="A10" t="s">
        <v>263</v>
      </c>
      <c r="B10" t="s">
        <v>129</v>
      </c>
      <c r="C10" t="s">
        <v>102</v>
      </c>
      <c r="D10">
        <v>1203</v>
      </c>
      <c r="E10" t="s">
        <v>11</v>
      </c>
      <c r="F10" t="s">
        <v>12</v>
      </c>
      <c r="G10" t="s">
        <v>130</v>
      </c>
      <c r="H10" t="s">
        <v>131</v>
      </c>
      <c r="I10" t="s">
        <v>132</v>
      </c>
      <c r="J10" t="s">
        <v>80</v>
      </c>
    </row>
  </sheetData>
  <conditionalFormatting sqref="J2:J10">
    <cfRule type="containsText" dxfId="25" priority="1" operator="containsText" text="gr">
      <formula>NOT(ISERROR(SEARCH("gr",J2)))</formula>
    </cfRule>
    <cfRule type="containsText" dxfId="24" priority="2" operator="containsText" text="under">
      <formula>NOT(ISERROR(SEARCH("under",J2)))</formula>
    </cfRule>
    <cfRule type="containsText" dxfId="23" priority="3" operator="containsText" text="Active">
      <formula>NOT(ISERROR(SEARCH("Active",J2)))</formula>
    </cfRule>
  </conditionalFormatting>
  <dataValidations count="1">
    <dataValidation type="list" allowBlank="1" showInputMessage="1" showErrorMessage="1" sqref="J10:J13" xr:uid="{37BFEA8D-195E-4C83-9F6C-390A28FBF031}">
      <formula1>"Active, Grounded, Stored"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08D0-5B15-49AE-8130-8A1E0F65B6F6}">
  <dimension ref="A1:J11"/>
  <sheetViews>
    <sheetView tabSelected="1" zoomScale="90" zoomScaleNormal="90" workbookViewId="0">
      <selection activeCell="F18" sqref="F18"/>
    </sheetView>
  </sheetViews>
  <sheetFormatPr defaultRowHeight="15.6" x14ac:dyDescent="0.3"/>
  <cols>
    <col min="1" max="1" width="11" customWidth="1"/>
    <col min="2" max="2" width="13.59765625" customWidth="1"/>
    <col min="3" max="3" width="12.3984375" customWidth="1"/>
    <col min="4" max="4" width="29.3984375" customWidth="1"/>
    <col min="5" max="5" width="16.19921875" customWidth="1"/>
    <col min="6" max="6" width="22" customWidth="1"/>
    <col min="7" max="7" width="11.19921875" customWidth="1"/>
    <col min="8" max="8" width="18.796875" customWidth="1"/>
    <col min="9" max="9" width="8.8984375" customWidth="1"/>
    <col min="10" max="10" width="43.796875" customWidth="1"/>
  </cols>
  <sheetData>
    <row r="1" spans="1:10" x14ac:dyDescent="0.3">
      <c r="A1" t="s">
        <v>249</v>
      </c>
      <c r="B1" t="s">
        <v>314</v>
      </c>
      <c r="C1" t="s">
        <v>14</v>
      </c>
      <c r="D1" t="s">
        <v>15</v>
      </c>
      <c r="E1" t="s">
        <v>17</v>
      </c>
      <c r="F1" t="s">
        <v>18</v>
      </c>
      <c r="G1" t="s">
        <v>19</v>
      </c>
      <c r="H1" t="s">
        <v>16</v>
      </c>
      <c r="I1" t="s">
        <v>20</v>
      </c>
      <c r="J1" t="s">
        <v>21</v>
      </c>
    </row>
    <row r="2" spans="1:10" x14ac:dyDescent="0.3">
      <c r="A2" s="9" t="s">
        <v>255</v>
      </c>
      <c r="B2" t="s">
        <v>25</v>
      </c>
      <c r="C2" t="s">
        <v>23</v>
      </c>
      <c r="D2" t="s">
        <v>24</v>
      </c>
      <c r="E2" s="1">
        <v>46253</v>
      </c>
      <c r="F2" t="s">
        <v>26</v>
      </c>
      <c r="G2" s="1">
        <v>46254</v>
      </c>
      <c r="H2" s="1">
        <v>46235</v>
      </c>
      <c r="I2" t="s">
        <v>81</v>
      </c>
    </row>
    <row r="3" spans="1:10" x14ac:dyDescent="0.3">
      <c r="A3" s="10" t="s">
        <v>256</v>
      </c>
      <c r="B3" t="s">
        <v>85</v>
      </c>
      <c r="C3" t="s">
        <v>23</v>
      </c>
      <c r="D3" t="s">
        <v>83</v>
      </c>
      <c r="E3" s="1">
        <v>46264</v>
      </c>
      <c r="F3" t="s">
        <v>84</v>
      </c>
      <c r="G3" s="1">
        <v>46280</v>
      </c>
      <c r="I3" t="s">
        <v>22</v>
      </c>
      <c r="J3" t="s">
        <v>88</v>
      </c>
    </row>
    <row r="4" spans="1:10" x14ac:dyDescent="0.3">
      <c r="A4" s="11" t="s">
        <v>257</v>
      </c>
      <c r="B4" t="s">
        <v>86</v>
      </c>
      <c r="C4" t="s">
        <v>23</v>
      </c>
      <c r="D4" t="s">
        <v>87</v>
      </c>
      <c r="E4" s="1">
        <v>46245</v>
      </c>
      <c r="F4" t="s">
        <v>89</v>
      </c>
      <c r="G4" s="1">
        <v>46276</v>
      </c>
      <c r="I4" t="s">
        <v>42</v>
      </c>
      <c r="J4" t="s">
        <v>90</v>
      </c>
    </row>
    <row r="5" spans="1:10" x14ac:dyDescent="0.3">
      <c r="A5" s="10" t="s">
        <v>258</v>
      </c>
      <c r="B5" t="s">
        <v>91</v>
      </c>
      <c r="C5" t="s">
        <v>23</v>
      </c>
      <c r="D5" t="s">
        <v>24</v>
      </c>
      <c r="E5" s="1">
        <v>46251</v>
      </c>
      <c r="F5" t="s">
        <v>92</v>
      </c>
      <c r="G5" s="1">
        <v>46295</v>
      </c>
      <c r="I5" t="s">
        <v>42</v>
      </c>
      <c r="J5" t="s">
        <v>90</v>
      </c>
    </row>
    <row r="6" spans="1:10" x14ac:dyDescent="0.3">
      <c r="A6" s="9" t="s">
        <v>259</v>
      </c>
      <c r="B6" t="s">
        <v>93</v>
      </c>
      <c r="C6" t="s">
        <v>23</v>
      </c>
      <c r="D6" t="s">
        <v>95</v>
      </c>
      <c r="E6" s="1">
        <v>46239</v>
      </c>
      <c r="F6" t="s">
        <v>94</v>
      </c>
      <c r="G6" s="1">
        <v>46249</v>
      </c>
      <c r="I6" t="s">
        <v>42</v>
      </c>
      <c r="J6" t="s">
        <v>90</v>
      </c>
    </row>
    <row r="7" spans="1:10" x14ac:dyDescent="0.3">
      <c r="A7" s="12" t="s">
        <v>260</v>
      </c>
      <c r="B7" t="s">
        <v>133</v>
      </c>
      <c r="C7" t="s">
        <v>23</v>
      </c>
      <c r="D7" t="s">
        <v>134</v>
      </c>
      <c r="E7" s="1">
        <v>46277</v>
      </c>
      <c r="F7" t="s">
        <v>135</v>
      </c>
      <c r="G7" s="1">
        <v>46290</v>
      </c>
      <c r="I7" t="s">
        <v>74</v>
      </c>
    </row>
    <row r="8" spans="1:10" x14ac:dyDescent="0.3">
      <c r="A8" s="9" t="s">
        <v>261</v>
      </c>
      <c r="B8" t="s">
        <v>136</v>
      </c>
      <c r="C8" t="s">
        <v>137</v>
      </c>
      <c r="D8" t="s">
        <v>138</v>
      </c>
      <c r="E8" s="1">
        <v>46252</v>
      </c>
      <c r="F8" t="s">
        <v>139</v>
      </c>
      <c r="G8" s="1">
        <v>46270</v>
      </c>
      <c r="H8" s="1">
        <v>46267</v>
      </c>
      <c r="I8" t="s">
        <v>81</v>
      </c>
      <c r="J8" t="s">
        <v>140</v>
      </c>
    </row>
    <row r="9" spans="1:10" x14ac:dyDescent="0.3">
      <c r="A9" s="12" t="s">
        <v>262</v>
      </c>
      <c r="B9" t="s">
        <v>141</v>
      </c>
      <c r="C9" t="s">
        <v>23</v>
      </c>
      <c r="D9" t="s">
        <v>142</v>
      </c>
      <c r="E9" s="1">
        <v>46242</v>
      </c>
      <c r="F9" t="s">
        <v>143</v>
      </c>
      <c r="G9" s="1">
        <v>46252</v>
      </c>
      <c r="I9" t="s">
        <v>42</v>
      </c>
      <c r="J9" t="s">
        <v>144</v>
      </c>
    </row>
    <row r="10" spans="1:10" x14ac:dyDescent="0.3">
      <c r="A10" s="7" t="s">
        <v>263</v>
      </c>
      <c r="B10" t="s">
        <v>145</v>
      </c>
      <c r="C10" t="s">
        <v>137</v>
      </c>
      <c r="D10" t="s">
        <v>146</v>
      </c>
      <c r="E10" s="1">
        <v>46287</v>
      </c>
      <c r="F10" t="s">
        <v>147</v>
      </c>
      <c r="G10" s="1">
        <v>46305</v>
      </c>
      <c r="I10" t="s">
        <v>22</v>
      </c>
      <c r="J10" t="s">
        <v>148</v>
      </c>
    </row>
    <row r="11" spans="1:10" x14ac:dyDescent="0.3">
      <c r="A11" t="s">
        <v>255</v>
      </c>
      <c r="B11" t="s">
        <v>330</v>
      </c>
      <c r="C11" t="s">
        <v>23</v>
      </c>
      <c r="D11" t="s">
        <v>331</v>
      </c>
      <c r="E11" s="1">
        <v>46255</v>
      </c>
      <c r="F11" t="s">
        <v>26</v>
      </c>
      <c r="G11" s="1">
        <v>46286</v>
      </c>
      <c r="I11" t="s">
        <v>22</v>
      </c>
      <c r="J11" t="s">
        <v>148</v>
      </c>
    </row>
  </sheetData>
  <conditionalFormatting sqref="I2:I6 I8:I11">
    <cfRule type="containsText" dxfId="22" priority="1" operator="containsText" text="Complied">
      <formula>NOT(ISERROR(SEARCH("Complied",I2)))</formula>
    </cfRule>
    <cfRule type="containsText" dxfId="21" priority="2" operator="containsText" text="Due soon">
      <formula>NOT(ISERROR(SEARCH("Due soon",I2)))</formula>
    </cfRule>
    <cfRule type="containsText" dxfId="20" priority="3" operator="containsText" text="Overdue">
      <formula>NOT(ISERROR(SEARCH("Overdue",I2)))</formula>
    </cfRule>
    <cfRule type="containsText" dxfId="19" priority="4" operator="containsText" text="Due soon">
      <formula>NOT(ISERROR(SEARCH("Due soon",I2)))</formula>
    </cfRule>
    <cfRule type="containsText" dxfId="18" priority="5" operator="containsText" text="Open">
      <formula>NOT(ISERROR(SEARCH("Open",I2)))</formula>
    </cfRule>
  </conditionalFormatting>
  <dataValidations count="1">
    <dataValidation type="list" allowBlank="1" showInputMessage="1" showErrorMessage="1" sqref="I2:I6 I8:I11" xr:uid="{F8DC4FBD-2A60-44EC-94D5-CF2ADC4770B9}">
      <formula1>"Open, Due soon, Overdue, Complied"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8FE6-BF2E-4ABA-9ABA-EDA82D149839}">
  <dimension ref="A1:H31"/>
  <sheetViews>
    <sheetView zoomScale="73" zoomScaleNormal="73" workbookViewId="0">
      <selection activeCell="N20" sqref="N20:N21"/>
    </sheetView>
  </sheetViews>
  <sheetFormatPr defaultRowHeight="15.6" x14ac:dyDescent="0.3"/>
  <cols>
    <col min="1" max="1" width="20.59765625" customWidth="1"/>
    <col min="2" max="2" width="8.796875" customWidth="1"/>
    <col min="3" max="3" width="12.09765625" customWidth="1"/>
    <col min="4" max="4" width="29.796875" customWidth="1"/>
    <col min="5" max="5" width="19.59765625" customWidth="1"/>
    <col min="6" max="6" width="17.8984375" customWidth="1"/>
    <col min="7" max="7" width="13.8984375" customWidth="1"/>
  </cols>
  <sheetData>
    <row r="1" spans="1:8" ht="19.8" customHeight="1" x14ac:dyDescent="0.3">
      <c r="A1" s="15" t="s">
        <v>249</v>
      </c>
      <c r="B1" s="15" t="s">
        <v>283</v>
      </c>
      <c r="C1" s="23" t="s">
        <v>337</v>
      </c>
      <c r="D1" s="15" t="s">
        <v>44</v>
      </c>
      <c r="E1" s="15" t="s">
        <v>285</v>
      </c>
      <c r="F1" s="15" t="s">
        <v>9</v>
      </c>
    </row>
    <row r="2" spans="1:8" x14ac:dyDescent="0.3">
      <c r="A2" t="str" cm="1">
        <f t="array" ref="A2">_xlfn._xlws.FILTER(AD_Table[Registration],(AD_Table[Registration]=DASHBOARD!$D$3)*((AD_Table[STATUS]="Overdue")+(AD_Table[STATUS]="Due soon")),"No AD actions required")</f>
        <v>VT-ABC</v>
      </c>
      <c r="B2" t="str" cm="1">
        <f t="array" ref="B2">IF(_xlfn.ANCHORARRAY(A2)&lt;&gt;"","AD","")</f>
        <v>AD</v>
      </c>
      <c r="C2" t="str" cm="1">
        <f t="array" ref="C2">_xlfn._xlws.FILTER(INDEX(AMP_Table[],0,2),(AMP_Table[Registration]=DASHBOARD!$D$3)*((AMP_Table[Status]="Overdue")+(AMP_Table[Status]="Due Soon")),"")</f>
        <v/>
      </c>
      <c r="D2" t="str" cm="1">
        <f t="array" ref="D2">_xlfn._xlws.FILTER(AD_Table[DESCRIPTION],(AD_Table[Registration]=DASHBOARD!$D$3)*((AD_Table[STATUS]="Overdue")+(AD_Table[STATUS]="Due soon")),"")</f>
        <v>Elevator Inspection</v>
      </c>
      <c r="E2" s="16" cm="1">
        <f t="array" ref="E2">_xlfn._xlws.FILTER(AD_Table[DUE DATE],(AD_Table[Registration]=DASHBOARD!$D$3)*((AD_Table[STATUS]="Overdue")+(AD_Table[STATUS]="Due soon")),"")</f>
        <v>46249</v>
      </c>
      <c r="F2" t="str" cm="1">
        <f t="array" ref="F2">_xlfn._xlws.FILTER(AD_Table[STATUS],(AD_Table[Registration]=DASHBOARD!$D$3)*((AD_Table[STATUS]="Overdue")+(AD_Table[STATUS]="Due soon")),"")</f>
        <v>Overdue</v>
      </c>
    </row>
    <row r="4" spans="1:8" x14ac:dyDescent="0.3">
      <c r="A4" s="15"/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10" spans="1:8" x14ac:dyDescent="0.3">
      <c r="A10" s="15"/>
      <c r="B10" s="15"/>
      <c r="C10" s="15"/>
      <c r="D10" s="15"/>
      <c r="E10" s="15"/>
      <c r="F10" s="15"/>
      <c r="G10" s="15"/>
    </row>
    <row r="11" spans="1:8" x14ac:dyDescent="0.3">
      <c r="A11" s="17" t="s">
        <v>249</v>
      </c>
      <c r="B11" s="17" t="s">
        <v>283</v>
      </c>
      <c r="C11" s="23" t="s">
        <v>337</v>
      </c>
      <c r="D11" s="17" t="s">
        <v>287</v>
      </c>
      <c r="E11" s="17" t="s">
        <v>288</v>
      </c>
      <c r="F11" s="17" t="s">
        <v>289</v>
      </c>
      <c r="G11" s="17" t="s">
        <v>290</v>
      </c>
      <c r="H11" s="17" t="s">
        <v>9</v>
      </c>
    </row>
    <row r="12" spans="1:8" x14ac:dyDescent="0.3">
      <c r="A12" t="str" cm="1">
        <f t="array" ref="A12">_xlfn._xlws.FILTER(AMP_Table[Registration],(AMP_Table[Registration]=DASHBOARD!$D$3)*((AMP_Table[Status]="Overdue")+(AMP_Table[Status]="Due Soon")),"No AMP tasks required")</f>
        <v>No AMP tasks required</v>
      </c>
      <c r="B12" t="str" cm="1">
        <f t="array" ref="B12">IF(_xlfn.ANCHORARRAY(A12)&lt;&gt;"","AMP","")</f>
        <v>AMP</v>
      </c>
      <c r="C12" t="str" cm="1">
        <f t="array" ref="C12">_xlfn._xlws.FILTER(INDEX(AMP_Table[],0,2),(AMP_Table[Registration]=DASHBOARD!$D$3)*((AMP_Table[Status]="Overdue")+(AMP_Table[Status]="Due Soon")),"")</f>
        <v/>
      </c>
      <c r="D12" t="str" cm="1">
        <f t="array" ref="D12">_xlfn._xlws.FILTER(AMP_Table[Task name],(AMP_Table[Registration]=DASHBOARD!$D$3)*((AMP_Table[Status]="Overdue")+(AMP_Table[Status]="Due Soon")),"")</f>
        <v/>
      </c>
      <c r="E12" t="str" cm="1">
        <f t="array" ref="E12">_xlfn._xlws.FILTER(AMP_Table[[FH due ]],(AMP_Table[Registration]=DASHBOARD!D3)*((AMP_Table[Status]="Overdue")+(AMP_Table[Status]="Due Soon")),"")</f>
        <v/>
      </c>
      <c r="F12" t="str" cm="1">
        <f t="array" ref="F12">_xlfn._xlws.FILTER(AMP_Table[[FC due ]],(AMP_Table[Registration]=DASHBOARD!D3)*((AMP_Table[Status]="Overdue")+(AMP_Table[Status]="Due Soon")),"")</f>
        <v/>
      </c>
      <c r="G12" s="1" t="str" cm="1">
        <f t="array" ref="G12">_xlfn._xlws.FILTER(AMP_Table[Calendar due],(AMP_Table[Registration]=DASHBOARD!D3)*((AMP_Table[Status]="Overdue")+(AMP_Table[Status]="Due Soon")),"")</f>
        <v/>
      </c>
      <c r="H12" t="str" cm="1">
        <f t="array" ref="H12">_xlfn._xlws.FILTER(AMP_Table[Status],(AMP_Table[Registration]=DASHBOARD!D3)*((AMP_Table[Status]="Overdue")+(AMP_Table[Status]="Due Soon")),"")</f>
        <v/>
      </c>
    </row>
    <row r="19" spans="1:7" x14ac:dyDescent="0.3">
      <c r="A19" s="15"/>
      <c r="B19" s="15"/>
      <c r="C19" s="15"/>
      <c r="D19" s="15"/>
      <c r="E19" s="15"/>
      <c r="F19" s="15"/>
    </row>
    <row r="20" spans="1:7" x14ac:dyDescent="0.3">
      <c r="A20" s="17" t="s">
        <v>249</v>
      </c>
      <c r="B20" s="17" t="s">
        <v>283</v>
      </c>
      <c r="C20" s="23" t="s">
        <v>337</v>
      </c>
      <c r="D20" s="17" t="s">
        <v>37</v>
      </c>
      <c r="E20" s="17" t="s">
        <v>291</v>
      </c>
      <c r="F20" s="17" t="s">
        <v>9</v>
      </c>
    </row>
    <row r="21" spans="1:7" x14ac:dyDescent="0.3">
      <c r="A21" t="str" cm="1">
        <f t="array" ref="A21">_xlfn._xlws.FILTER(LLP­­­­_Table[Registration],(LLP­­­­_Table[Registration]=DASHBOARD!D3)*((LLP­­­­_Table[Status]="Urgent Replacement")+(LLP­­­­_Table[Status]="Plan replacement")),"No LLP actions required")</f>
        <v>VT-ABC</v>
      </c>
      <c r="B21" t="str" cm="1">
        <f t="array" ref="B21">IF(_xlfn.ANCHORARRAY(A21)&lt;&gt;"","LLP","")</f>
        <v>LLP</v>
      </c>
      <c r="C21" t="str" cm="1">
        <f t="array" ref="C21">_xlfn._xlws.FILTER(LLP­­­­_Table[Part NO.],(LLP­­­­_Table[Registration]=DASHBOARD!$D$3)*((LLP­­­­_Table[Status]="Urgent Replacement")+(LLP­­­­_Table[Status]="Replace Soon")),"")</f>
        <v/>
      </c>
      <c r="D21" t="str" cm="1">
        <f t="array" ref="D21">_xlfn._xlws.FILTER(LLP­­­­_Table[Component],(LLP­­­­_Table[Registration]=DASHBOARD!$D$3)*((LLP­­­­_Table[Status]="Urgent Replacement")+(LLP­­­­_Table[Status]="Replace Soon")),"")</f>
        <v/>
      </c>
      <c r="E21" cm="1">
        <f t="array" ref="E21">_xlfn._xlws.FILTER(LLP­­­­_Table[remaining cycles],(LLP­­­­_Table[Registration]=DASHBOARD!D3)*((LLP­­­­_Table[Status]="Urgent Replacement")+(LLP­­­­_Table[Status]="Plan replacement")),"")</f>
        <v>2400</v>
      </c>
      <c r="F21" t="str" cm="1">
        <f t="array" ref="F21">_xlfn._xlws.FILTER(LLP­­­­_Table[Status],(LLP­­­­_Table[Registration]=DASHBOARD!$D$3)*((LLP­­­­_Table[Status]="Urgent Replacement")+(LLP­­­­_Table[Status]="Plan replacement")),"")</f>
        <v>Plan replacement</v>
      </c>
    </row>
    <row r="30" spans="1:7" x14ac:dyDescent="0.3">
      <c r="A30" s="15" t="s">
        <v>249</v>
      </c>
      <c r="B30" s="15" t="s">
        <v>283</v>
      </c>
      <c r="C30" s="23" t="s">
        <v>337</v>
      </c>
      <c r="D30" s="15" t="s">
        <v>44</v>
      </c>
      <c r="E30" s="15" t="s">
        <v>293</v>
      </c>
      <c r="F30" s="15" t="s">
        <v>294</v>
      </c>
      <c r="G30" s="15" t="s">
        <v>9</v>
      </c>
    </row>
    <row r="31" spans="1:7" x14ac:dyDescent="0.3">
      <c r="A31" t="str" cm="1">
        <f t="array" ref="A31">_xlfn._xlws.FILTER(Deferred_Table[Registration],(Deferred_Table[Registration]=DASHBOARD!$D$3)*(Deferred_Table[Status]&lt;&gt;"Rectified"),"No active defects")</f>
        <v>VT-ABC</v>
      </c>
      <c r="B31" t="str" cm="1">
        <f t="array" ref="B31">IF(_xlfn.ANCHORARRAY(A31)&lt;&gt;"","DEF","")</f>
        <v>DEF</v>
      </c>
      <c r="C31" t="str" cm="1">
        <f t="array" ref="C31">_xlfn._xlws.FILTER('Defered Defects'!B2:B10,('Defered Defects'!A2:A10=DASHBOARD!D3)*('Defered Defects'!H2:H10&lt;&gt;"Rectified"),"")</f>
        <v>DEF005</v>
      </c>
      <c r="D31" t="str" cm="1">
        <f t="array" ref="D31">_xlfn._xlws.FILTER(Deferred_Table[Description],(Deferred_Table[Registration]=DASHBOARD!$D$3)*(Deferred_Table[Status]&lt;&gt;"Rectified"),"")</f>
        <v>Cargo compartment light inoperative</v>
      </c>
      <c r="E31" t="str" cm="1">
        <f t="array" ref="E31">_xlfn._xlws.FILTER(Deferred_Table[MEL category],(Deferred_Table[Registration]=DASHBOARD!$D$3)*(Deferred_Table[Status]&lt;&gt;"Rectified"),"")</f>
        <v>C</v>
      </c>
      <c r="F31" s="1" cm="1">
        <f t="array" ref="F31">_xlfn._xlws.FILTER('Defered Defects'!F2:F10,('Defered Defects'!A2:A10=DASHBOARD!D3)*('Defered Defects'!H2:H10&lt;&gt;"Rectified"),"")</f>
        <v>46266</v>
      </c>
      <c r="G31" t="str" cm="1">
        <f t="array" ref="G31">_xlfn._xlws.FILTER(Deferred_Table[Status],(Deferred_Table[Registration]=DASHBOARD!$D$3)*(Deferred_Table[Status]&lt;&gt;"Rectified"),"")</f>
        <v>Deferred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4509-BABD-4F92-96D6-73B2CD558017}">
  <dimension ref="A2:H30"/>
  <sheetViews>
    <sheetView workbookViewId="0">
      <selection activeCell="D19" sqref="D19"/>
    </sheetView>
  </sheetViews>
  <sheetFormatPr defaultRowHeight="15.6" x14ac:dyDescent="0.3"/>
  <cols>
    <col min="1" max="1" width="20.3984375" customWidth="1"/>
    <col min="2" max="2" width="15.19921875" bestFit="1" customWidth="1"/>
    <col min="3" max="3" width="15.5" customWidth="1"/>
    <col min="4" max="4" width="13.59765625" customWidth="1"/>
    <col min="5" max="5" width="33.69921875" bestFit="1" customWidth="1"/>
    <col min="6" max="6" width="46.59765625" bestFit="1" customWidth="1"/>
  </cols>
  <sheetData>
    <row r="2" spans="1:8" x14ac:dyDescent="0.3">
      <c r="A2" s="36" t="s">
        <v>295</v>
      </c>
      <c r="B2" s="36"/>
      <c r="C2" s="36"/>
      <c r="D2" s="36" t="str">
        <f>DASHBOARD!D3</f>
        <v>VT-ABC</v>
      </c>
      <c r="E2" s="36"/>
      <c r="F2" s="36"/>
    </row>
    <row r="3" spans="1:8" ht="16.2" customHeight="1" x14ac:dyDescent="0.3">
      <c r="A3" s="36"/>
      <c r="B3" s="36"/>
      <c r="C3" s="36"/>
      <c r="D3" s="36"/>
      <c r="E3" s="36"/>
      <c r="F3" s="36"/>
    </row>
    <row r="4" spans="1:8" ht="16.2" customHeight="1" x14ac:dyDescent="0.45">
      <c r="A4" s="18"/>
      <c r="B4" s="18"/>
      <c r="C4" s="18"/>
      <c r="D4" s="18"/>
      <c r="E4" s="18"/>
      <c r="F4" s="18"/>
    </row>
    <row r="5" spans="1:8" ht="18" x14ac:dyDescent="0.35">
      <c r="A5" s="76" t="s">
        <v>297</v>
      </c>
      <c r="B5" s="76"/>
    </row>
    <row r="6" spans="1:8" x14ac:dyDescent="0.3">
      <c r="A6" s="15" t="s">
        <v>202</v>
      </c>
      <c r="B6" s="15" t="s">
        <v>198</v>
      </c>
    </row>
    <row r="7" spans="1:8" ht="27" customHeight="1" x14ac:dyDescent="0.3">
      <c r="A7" s="3" t="s">
        <v>249</v>
      </c>
      <c r="B7" s="3" t="str">
        <f>_xlfn.XLOOKUP(D2,Table1[registration],Table1[registration])</f>
        <v>VT-ABC</v>
      </c>
    </row>
    <row r="8" spans="1:8" ht="31.2" x14ac:dyDescent="0.3">
      <c r="A8" s="3" t="s">
        <v>296</v>
      </c>
      <c r="B8" s="3" t="str">
        <f>_xlfn.XLOOKUP(D2,Table1[registration],Table1[Aircraft type])</f>
        <v>A320neo</v>
      </c>
    </row>
    <row r="9" spans="1:8" x14ac:dyDescent="0.3">
      <c r="A9" s="3" t="s">
        <v>279</v>
      </c>
      <c r="B9" s="3" t="str">
        <f>_xlfn.XLOOKUP(D2,Table1[registration],Table1[operator])</f>
        <v>Air India</v>
      </c>
    </row>
    <row r="10" spans="1:8" x14ac:dyDescent="0.3">
      <c r="A10" s="3" t="s">
        <v>3</v>
      </c>
      <c r="B10" s="3">
        <f>_xlfn.XLOOKUP(D2,Table1[registration],Table1[MSN])</f>
        <v>11234</v>
      </c>
    </row>
    <row r="12" spans="1:8" x14ac:dyDescent="0.3">
      <c r="A12" s="68" t="s">
        <v>298</v>
      </c>
      <c r="B12" s="68"/>
      <c r="C12" s="68"/>
      <c r="D12" s="68"/>
      <c r="E12" s="68"/>
      <c r="F12" s="68"/>
    </row>
    <row r="13" spans="1:8" x14ac:dyDescent="0.3">
      <c r="A13" s="68"/>
      <c r="B13" s="68"/>
      <c r="C13" s="68"/>
      <c r="D13" s="68"/>
      <c r="E13" s="68"/>
      <c r="F13" s="68"/>
    </row>
    <row r="14" spans="1:8" x14ac:dyDescent="0.3">
      <c r="A14" s="15" t="s">
        <v>249</v>
      </c>
      <c r="B14" s="15" t="s">
        <v>299</v>
      </c>
      <c r="C14" s="15" t="s">
        <v>300</v>
      </c>
      <c r="D14" s="15" t="s">
        <v>301</v>
      </c>
      <c r="E14" s="15" t="s">
        <v>302</v>
      </c>
      <c r="F14" s="15" t="s">
        <v>303</v>
      </c>
      <c r="G14" s="15" t="s">
        <v>47</v>
      </c>
      <c r="H14" s="15" t="s">
        <v>304</v>
      </c>
    </row>
    <row r="15" spans="1:8" x14ac:dyDescent="0.3">
      <c r="A15" t="str" cm="1">
        <f t="array" ref="A15:H15">_xlfn._xlws.SORT(_xlfn._xlws.FILTER(TechLog_Table[[Registration]:[Aircraft released]],TechLog_Table[Registration]=$D$2,"No technical log records"),2,-1)</f>
        <v>VT-ABC</v>
      </c>
      <c r="B15">
        <v>46240</v>
      </c>
      <c r="C15" t="str">
        <v>EK530</v>
      </c>
      <c r="D15" t="str">
        <v>HYD-DXB</v>
      </c>
      <c r="E15" t="str">
        <v>Cabin reading light unserviceable</v>
      </c>
      <c r="F15" t="str">
        <v>Reading light replaced</v>
      </c>
      <c r="G15" t="str">
        <v>ALI</v>
      </c>
      <c r="H15" t="str">
        <v>YES</v>
      </c>
    </row>
    <row r="26" spans="1:7" x14ac:dyDescent="0.3">
      <c r="A26" s="68" t="s">
        <v>309</v>
      </c>
      <c r="B26" s="68"/>
      <c r="C26" s="68"/>
      <c r="D26" s="68"/>
      <c r="E26" s="68"/>
      <c r="F26" s="68"/>
      <c r="G26" s="68"/>
    </row>
    <row r="27" spans="1:7" x14ac:dyDescent="0.3">
      <c r="A27" s="77"/>
      <c r="B27" s="77"/>
      <c r="C27" s="77"/>
      <c r="D27" s="77"/>
      <c r="E27" s="77"/>
      <c r="F27" s="77"/>
      <c r="G27" s="77"/>
    </row>
    <row r="28" spans="1:7" x14ac:dyDescent="0.3">
      <c r="A28" s="19" t="s">
        <v>249</v>
      </c>
      <c r="B28" s="20" t="s">
        <v>61</v>
      </c>
      <c r="C28" s="20" t="s">
        <v>62</v>
      </c>
      <c r="D28" s="20" t="s">
        <v>63</v>
      </c>
      <c r="E28" s="20" t="s">
        <v>64</v>
      </c>
      <c r="F28" s="20" t="s">
        <v>47</v>
      </c>
      <c r="G28" s="21" t="s">
        <v>65</v>
      </c>
    </row>
    <row r="29" spans="1:7" x14ac:dyDescent="0.3">
      <c r="A29" t="str" cm="1">
        <f t="array" ref="A29:G29">_xlfn._xlws.SORT(
_xlfn._xlws.FILTER(
CRS_Table[[Registration]:[Next due]],
CRS_Table[Registration]=$D$2,
"No CRS records"
),
2,-1
)</f>
        <v>VT-ABC</v>
      </c>
      <c r="B29" s="1">
        <v>45785</v>
      </c>
      <c r="C29" t="str">
        <v>Landing Gear Inspection</v>
      </c>
      <c r="D29" t="str">
        <v>Aviation MRO</v>
      </c>
      <c r="E29" t="str">
        <v>CRS-2025-008</v>
      </c>
      <c r="F29" t="str">
        <v>SINGH</v>
      </c>
      <c r="G29" t="str">
        <v>5000 FC</v>
      </c>
    </row>
    <row r="30" spans="1:7" x14ac:dyDescent="0.3">
      <c r="B30" s="1"/>
    </row>
  </sheetData>
  <mergeCells count="5">
    <mergeCell ref="A2:C3"/>
    <mergeCell ref="D2:F3"/>
    <mergeCell ref="A5:B5"/>
    <mergeCell ref="A12:F13"/>
    <mergeCell ref="A26:G2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748740-9EB6-449F-AB3D-779520991F02}">
          <x14:formula1>
            <xm:f>'Aircraft INFORMATION'!$A$2:$A$10</xm:f>
          </x14:formula1>
          <xm:sqref>D2:F4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3CC2-EFBE-4719-A82D-3F15794F30D2}">
  <dimension ref="A1:I8"/>
  <sheetViews>
    <sheetView workbookViewId="0">
      <selection activeCell="H14" sqref="H14"/>
    </sheetView>
  </sheetViews>
  <sheetFormatPr defaultRowHeight="15.6" x14ac:dyDescent="0.3"/>
  <cols>
    <col min="1" max="1" width="11" bestFit="1" customWidth="1"/>
    <col min="3" max="3" width="12.5" customWidth="1"/>
    <col min="4" max="4" width="27.8984375" bestFit="1" customWidth="1"/>
    <col min="6" max="6" width="10.09765625" bestFit="1" customWidth="1"/>
    <col min="7" max="7" width="9.19921875" bestFit="1" customWidth="1"/>
    <col min="9" max="9" width="48.5" bestFit="1" customWidth="1"/>
  </cols>
  <sheetData>
    <row r="1" spans="1:9" x14ac:dyDescent="0.3">
      <c r="A1" t="s">
        <v>249</v>
      </c>
      <c r="B1" t="s">
        <v>310</v>
      </c>
      <c r="C1" t="s">
        <v>284</v>
      </c>
      <c r="D1" t="s">
        <v>44</v>
      </c>
      <c r="E1" t="s">
        <v>9</v>
      </c>
      <c r="F1" t="s">
        <v>294</v>
      </c>
      <c r="G1" t="s">
        <v>311</v>
      </c>
      <c r="H1" t="s">
        <v>312</v>
      </c>
      <c r="I1" t="s">
        <v>313</v>
      </c>
    </row>
    <row r="2" spans="1:9" x14ac:dyDescent="0.3">
      <c r="A2" t="str" cm="1">
        <f t="array" ref="A2:F8">_xlfn._xlws.FILTER(
CHOOSE({1,2,3,4,5,6},
AD_Table[Registration],
"AD",
AD_Table[AD NUMBER],
AD_Table[DESCRIPTION],
AD_Table[STATUS],
AD_Table[DUE DATE]
),
((AD_Table[STATUS]="Overdue")+(AD_Table[STATUS]="Due soon")),
"No AD actions"
)</f>
        <v>A6-ADB</v>
      </c>
      <c r="B2" t="str">
        <v>AD</v>
      </c>
      <c r="C2" t="str">
        <v>2026-0045</v>
      </c>
      <c r="D2" t="str">
        <v>Landing gear inspection</v>
      </c>
      <c r="E2" t="str">
        <v>Due soon</v>
      </c>
      <c r="F2" s="1">
        <v>46280</v>
      </c>
      <c r="G2">
        <f>IF(E2="Overdue",100,
IF(E2="Due soon",70,
IF(E2="Open",40,10)))</f>
        <v>70</v>
      </c>
      <c r="H2" t="str">
        <f>IF(G2&gt;=100,"CRITICAL",IF(G2&gt;=70,"HIGH",IF(G2&gt;=40,"MEDIUM","LOW")))</f>
        <v>HIGH</v>
      </c>
      <c r="I2" t="str">
        <f>_xlfn.XLOOKUP(A2,AD_Table[Registration],AD_Table[REMARKS]," No recommended action")</f>
        <v>Inspect before the next flight</v>
      </c>
    </row>
    <row r="3" spans="1:9" x14ac:dyDescent="0.3">
      <c r="A3" t="str">
        <v>A6-BCC</v>
      </c>
      <c r="B3" t="str">
        <v>AD</v>
      </c>
      <c r="C3" t="str">
        <v>2025-0202</v>
      </c>
      <c r="D3" t="str">
        <v>Both wings pylon Replacement</v>
      </c>
      <c r="E3" t="str">
        <v>Overdue</v>
      </c>
      <c r="F3" s="1">
        <v>46276</v>
      </c>
      <c r="G3">
        <f t="shared" ref="G3:G8" si="0">IF(E3="Overdue",100,
IF(E3="Due soon",70,
IF(E3="Open",40,10)))</f>
        <v>100</v>
      </c>
      <c r="H3" t="str">
        <f t="shared" ref="H3:H8" si="1">IF(G3&gt;=100,"CRITICAL",IF(G3&gt;=70,"HIGH",IF(G3&gt;=40,"MEDIUM","LOW")))</f>
        <v>CRITICAL</v>
      </c>
      <c r="I3" t="str">
        <f>_xlfn.XLOOKUP(A3,AD_Table[Registration],AD_Table[REMARKS]," No recommended action")</f>
        <v>Grounded until compliance</v>
      </c>
    </row>
    <row r="4" spans="1:9" x14ac:dyDescent="0.3">
      <c r="A4" t="str">
        <v>A6-AAA</v>
      </c>
      <c r="B4" t="str">
        <v>AD</v>
      </c>
      <c r="C4" t="str">
        <v>2026-0023</v>
      </c>
      <c r="D4" t="str">
        <v>Turbine fan Replacement</v>
      </c>
      <c r="E4" t="str">
        <v>Overdue</v>
      </c>
      <c r="F4" s="1">
        <v>46295</v>
      </c>
      <c r="G4">
        <f t="shared" si="0"/>
        <v>100</v>
      </c>
      <c r="H4" t="str">
        <f t="shared" si="1"/>
        <v>CRITICAL</v>
      </c>
      <c r="I4" t="str">
        <f>_xlfn.XLOOKUP(A4,AD_Table[Registration],AD_Table[REMARKS]," No recommended action")</f>
        <v>Grounded until compliance</v>
      </c>
    </row>
    <row r="5" spans="1:9" x14ac:dyDescent="0.3">
      <c r="A5" t="str">
        <v>VT-ABC</v>
      </c>
      <c r="B5" t="str">
        <v>AD</v>
      </c>
      <c r="C5" t="str">
        <v>2026-5423</v>
      </c>
      <c r="D5" t="str">
        <v>Elevator Inspection</v>
      </c>
      <c r="E5" t="str">
        <v>Overdue</v>
      </c>
      <c r="F5" s="1">
        <v>46249</v>
      </c>
      <c r="G5">
        <f t="shared" si="0"/>
        <v>100</v>
      </c>
      <c r="H5" t="str">
        <f t="shared" si="1"/>
        <v>CRITICAL</v>
      </c>
      <c r="I5" t="str">
        <f>_xlfn.XLOOKUP(A5,AD_Table[Registration],AD_Table[REMARKS]," No recommended action")</f>
        <v>Grounded until compliance</v>
      </c>
    </row>
    <row r="6" spans="1:9" x14ac:dyDescent="0.3">
      <c r="A6" t="str">
        <v>VT-XYZ</v>
      </c>
      <c r="B6" t="str">
        <v>AD</v>
      </c>
      <c r="C6" t="str">
        <v>2026-0074</v>
      </c>
      <c r="D6" t="str">
        <v>Cabin Pressure Valve Inspection</v>
      </c>
      <c r="E6" t="str">
        <v>Overdue</v>
      </c>
      <c r="F6" s="1">
        <v>46252</v>
      </c>
      <c r="G6">
        <f t="shared" si="0"/>
        <v>100</v>
      </c>
      <c r="H6" t="str">
        <f t="shared" si="1"/>
        <v>CRITICAL</v>
      </c>
      <c r="I6" t="str">
        <f>_xlfn.XLOOKUP(A6,AD_Table[Registration],AD_Table[REMARKS]," No recommended action")</f>
        <v>Aircraft grounded until compliance</v>
      </c>
    </row>
    <row r="7" spans="1:9" x14ac:dyDescent="0.3">
      <c r="A7" t="str">
        <v>A6-AGF</v>
      </c>
      <c r="B7" t="str">
        <v>AD</v>
      </c>
      <c r="C7" t="str">
        <v>2026-0135</v>
      </c>
      <c r="D7" t="str">
        <v>Engine Oil Filter Inspection</v>
      </c>
      <c r="E7" t="str">
        <v>Due soon</v>
      </c>
      <c r="F7" s="1">
        <v>46305</v>
      </c>
      <c r="G7">
        <f t="shared" si="0"/>
        <v>70</v>
      </c>
      <c r="H7" t="str">
        <f t="shared" si="1"/>
        <v>HIGH</v>
      </c>
      <c r="I7" t="str">
        <f>_xlfn.XLOOKUP(A7,AD_Table[Registration],AD_Table[REMARKS]," No recommended action")</f>
        <v>Schedule inspection before next maintenance check</v>
      </c>
    </row>
    <row r="8" spans="1:9" x14ac:dyDescent="0.3">
      <c r="A8" t="str">
        <v>A6-ABD</v>
      </c>
      <c r="B8" t="str">
        <v>AD</v>
      </c>
      <c r="C8" t="str">
        <v>2026-9321</v>
      </c>
      <c r="D8" t="str">
        <v>APU Replacement</v>
      </c>
      <c r="E8" t="str">
        <v>Due soon</v>
      </c>
      <c r="F8" s="1">
        <v>46286</v>
      </c>
      <c r="G8">
        <f t="shared" si="0"/>
        <v>70</v>
      </c>
      <c r="H8" t="str">
        <f t="shared" si="1"/>
        <v>HIGH</v>
      </c>
      <c r="I8" t="str">
        <f>IF(G8=100,"Grounded until compliance",IF(G8=70,"Schedule inspection before next maintenance check",""))</f>
        <v>Schedule inspection before next maintenance check</v>
      </c>
    </row>
  </sheetData>
  <conditionalFormatting sqref="H2:H100">
    <cfRule type="containsText" dxfId="17" priority="1" operator="containsText" text="HIGH">
      <formula>NOT(ISERROR(SEARCH("HIGH",H2)))</formula>
    </cfRule>
    <cfRule type="containsText" dxfId="16" priority="2" operator="containsText" text="Critical">
      <formula>NOT(ISERROR(SEARCH("Critical",H2)))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2714-18C6-4CA3-B2DF-AC7BEC5DE3BA}">
  <dimension ref="A1:I5"/>
  <sheetViews>
    <sheetView workbookViewId="0">
      <selection activeCell="I7" sqref="I7"/>
    </sheetView>
  </sheetViews>
  <sheetFormatPr defaultRowHeight="15.6" x14ac:dyDescent="0.3"/>
  <cols>
    <col min="1" max="1" width="11" bestFit="1" customWidth="1"/>
    <col min="3" max="3" width="9.8984375" customWidth="1"/>
    <col min="4" max="4" width="21" bestFit="1" customWidth="1"/>
    <col min="6" max="6" width="12.19921875" bestFit="1" customWidth="1"/>
    <col min="9" max="9" width="25.8984375" customWidth="1"/>
  </cols>
  <sheetData>
    <row r="1" spans="1:9" x14ac:dyDescent="0.3">
      <c r="A1" t="s">
        <v>249</v>
      </c>
      <c r="B1" t="s">
        <v>310</v>
      </c>
      <c r="C1" t="s">
        <v>284</v>
      </c>
      <c r="D1" t="s">
        <v>44</v>
      </c>
      <c r="E1" t="s">
        <v>9</v>
      </c>
      <c r="F1" t="s">
        <v>315</v>
      </c>
      <c r="G1" t="s">
        <v>317</v>
      </c>
      <c r="H1" t="s">
        <v>318</v>
      </c>
      <c r="I1" t="s">
        <v>319</v>
      </c>
    </row>
    <row r="2" spans="1:9" x14ac:dyDescent="0.3">
      <c r="A2" t="str" cm="1">
        <f t="array" ref="A2:F5">_xlfn._xlws.FILTER(
CHOOSE({1,2,3,4,5,6},
AMP_Table[Registration],
"AMP",
AMP_Table[Task ID],
AMP_Table[Task name],
AMP_Table[Status],
AMP_Table[Calendar due]
),
((AMP_Table[Status]="Overdue")+(AMP_Table[Status]="Due Soon")),
"No AMP actions"
)</f>
        <v>A6-ADB</v>
      </c>
      <c r="B2" t="str">
        <v>AMP</v>
      </c>
      <c r="C2" t="str">
        <v>AMP 002</v>
      </c>
      <c r="D2" t="str">
        <v>A-check</v>
      </c>
      <c r="E2" t="str">
        <v>Due Soon</v>
      </c>
      <c r="F2" s="1">
        <v>46310</v>
      </c>
      <c r="G2">
        <f>IF(E2="Overdue",100,IF(E2="Due Soon",70,IF(E2="Open",40,10)))</f>
        <v>70</v>
      </c>
      <c r="H2" t="str">
        <f>IF(G2&gt;=100,"CRITICAL",IF(G2&gt;=70,"HIGH",IF(G2&gt;=40,"MEDIUM","LOW")))</f>
        <v>HIGH</v>
      </c>
      <c r="I2" t="str">
        <f>IF(H2="CRITICAL","Immediate attention required",IF(H2="HIGH","Plan compliance soon",IF(H2="MEDIUM","Monitor and plan","Routine monitoring")))</f>
        <v>Plan compliance soon</v>
      </c>
    </row>
    <row r="3" spans="1:9" x14ac:dyDescent="0.3">
      <c r="A3" t="str">
        <v>A6-AAA</v>
      </c>
      <c r="B3" t="str">
        <v>AMP</v>
      </c>
      <c r="C3" t="str">
        <v>AMP 004</v>
      </c>
      <c r="D3" t="str">
        <v>Engine Oil Filter Change</v>
      </c>
      <c r="E3" t="str">
        <v>Due Soon</v>
      </c>
      <c r="F3" s="1">
        <v>46295</v>
      </c>
      <c r="G3">
        <f t="shared" ref="G3:G5" si="0">IF(E3="Overdue",100,IF(E3="Due Soon",70,IF(E3="Open",40,10)))</f>
        <v>70</v>
      </c>
      <c r="H3" t="str">
        <f t="shared" ref="H3:H5" si="1">IF(G3&gt;=100,"CRITICAL",IF(G3&gt;=70,"HIGH",IF(G3&gt;=40,"MEDIUM","LOW")))</f>
        <v>HIGH</v>
      </c>
      <c r="I3" t="str">
        <f t="shared" ref="I3:I5" si="2">IF(H3="CRITICAL","Immediate attention required",IF(H3="HIGH","Plan compliance soon",IF(H3="MEDIUM","Monitor and plan","Routine monitoring")))</f>
        <v>Plan compliance soon</v>
      </c>
    </row>
    <row r="4" spans="1:9" x14ac:dyDescent="0.3">
      <c r="A4" t="str">
        <v>VT-ABB</v>
      </c>
      <c r="B4" t="str">
        <v>AMP</v>
      </c>
      <c r="C4" t="str">
        <v>AMP 006</v>
      </c>
      <c r="D4" t="str">
        <v>Brake Wear Inspection</v>
      </c>
      <c r="E4" t="str">
        <v>Overdue</v>
      </c>
      <c r="F4" s="1">
        <v>46331</v>
      </c>
      <c r="G4">
        <f t="shared" si="0"/>
        <v>100</v>
      </c>
      <c r="H4" t="str">
        <f t="shared" si="1"/>
        <v>CRITICAL</v>
      </c>
      <c r="I4" t="str">
        <f t="shared" si="2"/>
        <v>Immediate attention required</v>
      </c>
    </row>
    <row r="5" spans="1:9" x14ac:dyDescent="0.3">
      <c r="A5" t="str">
        <v>VT-XYZ</v>
      </c>
      <c r="B5" t="str">
        <v>AMP</v>
      </c>
      <c r="C5" t="str">
        <v>AMP 008</v>
      </c>
      <c r="D5" t="str">
        <v>ELT Functional Test</v>
      </c>
      <c r="E5" t="str">
        <v>Due Soon</v>
      </c>
      <c r="F5" s="1">
        <v>46252</v>
      </c>
      <c r="G5">
        <f t="shared" si="0"/>
        <v>70</v>
      </c>
      <c r="H5" t="str">
        <f t="shared" si="1"/>
        <v>HIGH</v>
      </c>
      <c r="I5" t="str">
        <f t="shared" si="2"/>
        <v>Plan compliance soon</v>
      </c>
    </row>
  </sheetData>
  <conditionalFormatting sqref="H2:H5">
    <cfRule type="containsText" dxfId="15" priority="1" operator="containsText" text="hi">
      <formula>NOT(ISERROR(SEARCH("hi",H2)))</formula>
    </cfRule>
    <cfRule type="containsText" dxfId="14" priority="2" operator="containsText" text="cr">
      <formula>NOT(ISERROR(SEARCH("cr",H2)))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EC7C-6860-4032-A758-492E631B6045}">
  <dimension ref="A1:J8"/>
  <sheetViews>
    <sheetView workbookViewId="0">
      <selection activeCell="I2" sqref="I2:I7"/>
    </sheetView>
  </sheetViews>
  <sheetFormatPr defaultRowHeight="15.6" x14ac:dyDescent="0.3"/>
  <cols>
    <col min="1" max="1" width="12.19921875" customWidth="1"/>
    <col min="3" max="3" width="14" customWidth="1"/>
    <col min="4" max="4" width="32.3984375" bestFit="1" customWidth="1"/>
    <col min="6" max="6" width="10.09765625" bestFit="1" customWidth="1"/>
    <col min="10" max="10" width="23.8984375" bestFit="1" customWidth="1"/>
  </cols>
  <sheetData>
    <row r="1" spans="1:10" ht="31.2" x14ac:dyDescent="0.3">
      <c r="A1" s="3" t="s">
        <v>249</v>
      </c>
      <c r="B1" s="3" t="s">
        <v>310</v>
      </c>
      <c r="C1" s="3" t="s">
        <v>284</v>
      </c>
      <c r="D1" s="3" t="s">
        <v>44</v>
      </c>
      <c r="E1" s="3" t="s">
        <v>293</v>
      </c>
      <c r="F1" s="3" t="s">
        <v>294</v>
      </c>
      <c r="G1" s="3" t="s">
        <v>9</v>
      </c>
      <c r="H1" s="3" t="s">
        <v>311</v>
      </c>
      <c r="I1" s="3" t="s">
        <v>312</v>
      </c>
      <c r="J1" t="s">
        <v>313</v>
      </c>
    </row>
    <row r="2" spans="1:10" x14ac:dyDescent="0.3">
      <c r="A2" t="str" cm="1">
        <f t="array" ref="A2:G7">_xlfn._xlws.FILTER(
CHOOSE({1,2,3,4,5,6,7},
Deferred_Table[Registration],
"DEF",
Deferred_Table[Defect ID],
Deferred_Table[Description],
Deferred_Table[MEL category],
Deferred_Table[Due date],
Deferred_Table[Status]
),
(Deferred_Table[Status]&lt;&gt;"Rectified")*
(Deferred_Table[Status]&lt;&gt;""),
"No active defects"
)</f>
        <v>A6-ADB</v>
      </c>
      <c r="B2" t="str">
        <v>DEF</v>
      </c>
      <c r="C2" t="str">
        <v>DEF002</v>
      </c>
      <c r="D2" t="str">
        <v>Right landing light inoperative</v>
      </c>
      <c r="E2" t="str">
        <v>C</v>
      </c>
      <c r="F2" s="1">
        <v>46262</v>
      </c>
      <c r="G2" t="str">
        <v>Open</v>
      </c>
      <c r="H2">
        <f>IF(G2="Overdue",100,
IF(E2="A",95,
IF(E2="B",80,
IF(E2="C",60,
IF(E2="D",40,30)))))</f>
        <v>60</v>
      </c>
      <c r="I2" t="str">
        <f>IF(H2&gt;=90,"CRITICAL",
IF(H2&gt;=70,"HIGH",
IF(H2&gt;=50,"MEDIUM","LOW")))</f>
        <v>MEDIUM</v>
      </c>
      <c r="J2" t="str">
        <f>IF(I2="CRITICAL","Immediate review required",
IF(I2="HIGH","Plan corrective action",
IF(I2="MEDIUM","Monitor and plan",
"Routine monitoring")))</f>
        <v>Monitor and plan</v>
      </c>
    </row>
    <row r="3" spans="1:10" x14ac:dyDescent="0.3">
      <c r="A3" t="str">
        <v>A6-BCC</v>
      </c>
      <c r="B3" t="str">
        <v>DEF</v>
      </c>
      <c r="C3" t="str">
        <v>DEF003</v>
      </c>
      <c r="D3" t="str">
        <v>Galley coffee maker unserviceable</v>
      </c>
      <c r="E3" t="str">
        <v>D</v>
      </c>
      <c r="F3" s="1">
        <v>46437</v>
      </c>
      <c r="G3" t="str">
        <v>Deferred</v>
      </c>
      <c r="H3">
        <f t="shared" ref="H3:H7" si="0">IF(G3="Overdue",100,
IF(E3="A",95,
IF(E3="B",80,
IF(E3="C",60,
IF(E3="D",40,30)))))</f>
        <v>40</v>
      </c>
      <c r="I3" t="str">
        <f t="shared" ref="I3:I7" si="1">IF(H3&gt;=90,"CRITICAL",
IF(H3&gt;=70,"HIGH",
IF(H3&gt;=50,"MEDIUM","LOW")))</f>
        <v>LOW</v>
      </c>
      <c r="J3" t="str">
        <f>IF(I3="CRITICAL","Immediate review required",
IF(I3="HIGH","Plan corrective action",
IF(I3="MEDIUM","Monitor and plan",
"Routine monitoring")))</f>
        <v>Routine monitoring</v>
      </c>
    </row>
    <row r="4" spans="1:10" x14ac:dyDescent="0.3">
      <c r="A4" t="str">
        <v>A6-AAA</v>
      </c>
      <c r="B4" t="str">
        <v>DEF</v>
      </c>
      <c r="C4" t="str">
        <v>DEF004</v>
      </c>
      <c r="D4" t="str">
        <v>No. 2 cabin speaker intermittent</v>
      </c>
      <c r="E4" t="str">
        <v>C</v>
      </c>
      <c r="F4" s="1">
        <v>46265</v>
      </c>
      <c r="G4" t="str">
        <v>In Progress</v>
      </c>
      <c r="H4">
        <f t="shared" si="0"/>
        <v>60</v>
      </c>
      <c r="I4" t="str">
        <f t="shared" si="1"/>
        <v>MEDIUM</v>
      </c>
      <c r="J4" t="str">
        <f t="shared" ref="J4:J7" si="2">IF(I4="CRITICAL","Immediate review required",
IF(I4="HIGH","Plan corrective action",
IF(I4="MEDIUM","Monitor and plan",
"Routine monitoring")))</f>
        <v>Monitor and plan</v>
      </c>
    </row>
    <row r="5" spans="1:10" x14ac:dyDescent="0.3">
      <c r="A5" t="str">
        <v>VT-ABC</v>
      </c>
      <c r="B5" t="str">
        <v>DEF</v>
      </c>
      <c r="C5" t="str">
        <v>DEF005</v>
      </c>
      <c r="D5" t="str">
        <v>Cargo compartment light inoperative</v>
      </c>
      <c r="E5" t="str">
        <v>C</v>
      </c>
      <c r="F5" s="1">
        <v>46266</v>
      </c>
      <c r="G5" t="str">
        <v>Deferred</v>
      </c>
      <c r="H5">
        <f t="shared" si="0"/>
        <v>60</v>
      </c>
      <c r="I5" t="str">
        <f t="shared" si="1"/>
        <v>MEDIUM</v>
      </c>
      <c r="J5" t="str">
        <f t="shared" si="2"/>
        <v>Monitor and plan</v>
      </c>
    </row>
    <row r="6" spans="1:10" x14ac:dyDescent="0.3">
      <c r="A6" t="str">
        <v>VT-ABB</v>
      </c>
      <c r="B6" t="str">
        <v>DEF</v>
      </c>
      <c r="C6" t="str">
        <v>DEF006</v>
      </c>
      <c r="D6" t="str">
        <v>Windshield wiper slow operation</v>
      </c>
      <c r="E6" t="str">
        <v>B</v>
      </c>
      <c r="F6" s="1">
        <v>46260</v>
      </c>
      <c r="G6" t="str">
        <v>Overdue</v>
      </c>
      <c r="H6">
        <f t="shared" si="0"/>
        <v>100</v>
      </c>
      <c r="I6" t="str">
        <f t="shared" si="1"/>
        <v>CRITICAL</v>
      </c>
      <c r="J6" t="str">
        <f t="shared" si="2"/>
        <v>Immediate review required</v>
      </c>
    </row>
    <row r="7" spans="1:10" x14ac:dyDescent="0.3">
      <c r="A7" t="str">
        <v>VT-XYZ</v>
      </c>
      <c r="B7" t="str">
        <v>DEF</v>
      </c>
      <c r="C7" t="str">
        <v>DEF008</v>
      </c>
      <c r="D7" t="str">
        <v>Seat 12A recline mechanism faulty</v>
      </c>
      <c r="E7" t="str">
        <v>D</v>
      </c>
      <c r="F7" s="1">
        <v>46623</v>
      </c>
      <c r="G7" t="str">
        <v>Deferred</v>
      </c>
      <c r="H7">
        <f t="shared" si="0"/>
        <v>40</v>
      </c>
      <c r="I7" t="str">
        <f t="shared" si="1"/>
        <v>LOW</v>
      </c>
      <c r="J7" t="str">
        <f t="shared" si="2"/>
        <v>Routine monitoring</v>
      </c>
    </row>
    <row r="8" spans="1:10" x14ac:dyDescent="0.3">
      <c r="F8" s="1"/>
    </row>
  </sheetData>
  <conditionalFormatting sqref="I2:I7">
    <cfRule type="containsText" dxfId="13" priority="1" operator="containsText" text="med">
      <formula>NOT(ISERROR(SEARCH("med",I2)))</formula>
    </cfRule>
    <cfRule type="containsText" dxfId="12" priority="2" operator="containsText" text="hi">
      <formula>NOT(ISERROR(SEARCH("hi",I2)))</formula>
    </cfRule>
    <cfRule type="containsText" dxfId="11" priority="3" operator="containsText" text="cr">
      <formula>NOT(ISERROR(SEARCH("cr",I2)))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06D2-59D3-4C88-8AEA-75CEC5E84F3B}">
  <dimension ref="A1:I7"/>
  <sheetViews>
    <sheetView workbookViewId="0">
      <selection activeCell="J16" sqref="J16"/>
    </sheetView>
  </sheetViews>
  <sheetFormatPr defaultRowHeight="15.6" x14ac:dyDescent="0.3"/>
  <cols>
    <col min="4" max="4" width="32.3984375" bestFit="1" customWidth="1"/>
    <col min="5" max="5" width="12.296875" bestFit="1" customWidth="1"/>
    <col min="6" max="6" width="10.09765625" bestFit="1" customWidth="1"/>
    <col min="7" max="7" width="10" bestFit="1" customWidth="1"/>
  </cols>
  <sheetData>
    <row r="1" spans="1:9" x14ac:dyDescent="0.3">
      <c r="A1" t="s">
        <v>249</v>
      </c>
      <c r="B1" t="s">
        <v>310</v>
      </c>
      <c r="C1" t="s">
        <v>284</v>
      </c>
      <c r="D1" t="s">
        <v>44</v>
      </c>
      <c r="E1" t="s">
        <v>293</v>
      </c>
      <c r="F1" t="s">
        <v>294</v>
      </c>
      <c r="G1" t="s">
        <v>9</v>
      </c>
      <c r="H1" t="s">
        <v>311</v>
      </c>
      <c r="I1" t="s">
        <v>312</v>
      </c>
    </row>
    <row r="2" spans="1:9" x14ac:dyDescent="0.3">
      <c r="A2" t="str" cm="1">
        <f t="array" ref="A2:G7">_xlfn._xlws.FILTER(
CHOOSE({1,2,3,4,5,6,7},
Deferred_Table[Registration],
"DEF",
Deferred_Table[Defect ID],
Deferred_Table[Description],
Deferred_Table[MEL category],
Deferred_Table[Due date],
Deferred_Table[Status]
),
(Deferred_Table[Status]&lt;&gt;"Rectified")*
(Deferred_Table[Status]&lt;&gt;""),
"No active defects"
)</f>
        <v>A6-ADB</v>
      </c>
      <c r="B2" t="str">
        <v>DEF</v>
      </c>
      <c r="C2" t="str">
        <v>DEF002</v>
      </c>
      <c r="D2" t="str">
        <v>Right landing light inoperative</v>
      </c>
      <c r="E2" t="str">
        <v>C</v>
      </c>
      <c r="F2" s="1">
        <v>46262</v>
      </c>
      <c r="G2" t="str">
        <v>Open</v>
      </c>
      <c r="H2">
        <f ca="1">IF(F2="","",
IF(G2="Overdue",50,
IF(G2="Deferred",30,
IF(G2="Open",20,
IF(G2="In Progress",15,0))))+
IF(E2="A",40,
IF(E2="B",30,
IF(E2="C",20,
IF(E2="D",10,0))))+
IF(F2&lt;TODAY(),30,
IF(F2&lt;=TODAY()+3,25,
IF(F2&lt;=TODAY()+7,15,
IF(F2&lt;=TODAY()+14,5,0)))))</f>
        <v>70</v>
      </c>
      <c r="I2" t="str">
        <f ca="1">IF(H2="","",IF(H2&gt;=90,"Critical",IF(H2&gt;=70,"High",IF(H2&gt;=40,"Medium","Low"))))</f>
        <v>High</v>
      </c>
    </row>
    <row r="3" spans="1:9" x14ac:dyDescent="0.3">
      <c r="A3" t="str">
        <v>A6-BCC</v>
      </c>
      <c r="B3" t="str">
        <v>DEF</v>
      </c>
      <c r="C3" t="str">
        <v>DEF003</v>
      </c>
      <c r="D3" t="str">
        <v>Galley coffee maker unserviceable</v>
      </c>
      <c r="E3" t="str">
        <v>D</v>
      </c>
      <c r="F3" s="1">
        <v>46437</v>
      </c>
      <c r="G3" t="str">
        <v>Deferred</v>
      </c>
      <c r="H3">
        <f t="shared" ref="H3:H7" ca="1" si="0">IF(F3="","",
IF(G3="Overdue",50,
IF(G3="Deferred",30,
IF(G3="Open",20,
IF(G3="In Progress",15,0))))+
IF(E3="A",40,
IF(E3="B",30,
IF(E3="C",20,
IF(E3="D",10,0))))+
IF(F3&lt;TODAY(),30,
IF(F3&lt;=TODAY()+3,25,
IF(F3&lt;=TODAY()+7,15,
IF(F3&lt;=TODAY()+14,5,0)))))</f>
        <v>40</v>
      </c>
      <c r="I3" t="str">
        <f t="shared" ref="I3:I7" ca="1" si="1">IF(H3="","",IF(H3&gt;=90,"Critical",IF(H3&gt;=70,"High",IF(H3&gt;=40,"Medium","Low"))))</f>
        <v>Medium</v>
      </c>
    </row>
    <row r="4" spans="1:9" x14ac:dyDescent="0.3">
      <c r="A4" t="str">
        <v>A6-AAA</v>
      </c>
      <c r="B4" t="str">
        <v>DEF</v>
      </c>
      <c r="C4" t="str">
        <v>DEF004</v>
      </c>
      <c r="D4" t="str">
        <v>No. 2 cabin speaker intermittent</v>
      </c>
      <c r="E4" t="str">
        <v>C</v>
      </c>
      <c r="F4" s="1">
        <v>46265</v>
      </c>
      <c r="G4" t="str">
        <v>In Progress</v>
      </c>
      <c r="H4">
        <f t="shared" ca="1" si="0"/>
        <v>65</v>
      </c>
      <c r="I4" t="str">
        <f t="shared" ca="1" si="1"/>
        <v>Medium</v>
      </c>
    </row>
    <row r="5" spans="1:9" x14ac:dyDescent="0.3">
      <c r="A5" t="str">
        <v>VT-ABC</v>
      </c>
      <c r="B5" t="str">
        <v>DEF</v>
      </c>
      <c r="C5" t="str">
        <v>DEF005</v>
      </c>
      <c r="D5" t="str">
        <v>Cargo compartment light inoperative</v>
      </c>
      <c r="E5" t="str">
        <v>C</v>
      </c>
      <c r="F5" s="1">
        <v>46266</v>
      </c>
      <c r="G5" t="str">
        <v>Deferred</v>
      </c>
      <c r="H5">
        <f t="shared" ca="1" si="0"/>
        <v>80</v>
      </c>
      <c r="I5" t="str">
        <f t="shared" ca="1" si="1"/>
        <v>High</v>
      </c>
    </row>
    <row r="6" spans="1:9" x14ac:dyDescent="0.3">
      <c r="A6" t="str">
        <v>VT-ABB</v>
      </c>
      <c r="B6" t="str">
        <v>DEF</v>
      </c>
      <c r="C6" t="str">
        <v>DEF006</v>
      </c>
      <c r="D6" t="str">
        <v>Windshield wiper slow operation</v>
      </c>
      <c r="E6" t="str">
        <v>B</v>
      </c>
      <c r="F6" s="1">
        <v>46260</v>
      </c>
      <c r="G6" t="str">
        <v>Overdue</v>
      </c>
      <c r="H6">
        <f t="shared" ca="1" si="0"/>
        <v>110</v>
      </c>
      <c r="I6" t="str">
        <f t="shared" ca="1" si="1"/>
        <v>Critical</v>
      </c>
    </row>
    <row r="7" spans="1:9" x14ac:dyDescent="0.3">
      <c r="A7" t="str">
        <v>VT-XYZ</v>
      </c>
      <c r="B7" t="str">
        <v>DEF</v>
      </c>
      <c r="C7" t="str">
        <v>DEF008</v>
      </c>
      <c r="D7" t="str">
        <v>Seat 12A recline mechanism faulty</v>
      </c>
      <c r="E7" t="str">
        <v>D</v>
      </c>
      <c r="F7" s="1">
        <v>46623</v>
      </c>
      <c r="G7" t="str">
        <v>Deferred</v>
      </c>
      <c r="H7">
        <f t="shared" ca="1" si="0"/>
        <v>40</v>
      </c>
      <c r="I7" t="str">
        <f t="shared" ca="1" si="1"/>
        <v>Medium</v>
      </c>
    </row>
  </sheetData>
  <conditionalFormatting sqref="I2:I7">
    <cfRule type="containsText" dxfId="10" priority="1" operator="containsText" text="H">
      <formula>NOT(ISERROR(SEARCH("H",I2)))</formula>
    </cfRule>
    <cfRule type="containsText" dxfId="9" priority="3" operator="containsText" text="c">
      <formula>NOT(ISERROR(SEARCH("c",I2)))</formula>
    </cfRule>
  </conditionalFormatting>
  <conditionalFormatting sqref="L10">
    <cfRule type="containsText" dxfId="8" priority="2" operator="containsText" text="high">
      <formula>NOT(ISERROR(SEARCH("high",L10)))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26E9-68B5-4FB4-A5CA-35F6D81498F0}">
  <dimension ref="A1:H11"/>
  <sheetViews>
    <sheetView workbookViewId="0">
      <selection activeCell="D16" sqref="D16"/>
    </sheetView>
  </sheetViews>
  <sheetFormatPr defaultRowHeight="15.6" x14ac:dyDescent="0.3"/>
  <cols>
    <col min="1" max="1" width="15.296875" customWidth="1"/>
    <col min="2" max="2" width="13.796875" customWidth="1"/>
    <col min="3" max="3" width="25.296875" customWidth="1"/>
    <col min="4" max="4" width="16.59765625" customWidth="1"/>
    <col min="5" max="5" width="16.69921875" customWidth="1"/>
    <col min="6" max="6" width="13.09765625" customWidth="1"/>
    <col min="7" max="7" width="13.296875" customWidth="1"/>
    <col min="8" max="8" width="12.19921875" customWidth="1"/>
  </cols>
  <sheetData>
    <row r="1" spans="1:8" x14ac:dyDescent="0.3">
      <c r="A1" t="s">
        <v>249</v>
      </c>
      <c r="B1" t="s">
        <v>292</v>
      </c>
      <c r="C1" t="s">
        <v>44</v>
      </c>
      <c r="D1" t="s">
        <v>45</v>
      </c>
      <c r="E1" t="s">
        <v>46</v>
      </c>
      <c r="F1" t="s">
        <v>320</v>
      </c>
      <c r="G1" t="s">
        <v>47</v>
      </c>
      <c r="H1" t="s">
        <v>9</v>
      </c>
    </row>
    <row r="2" spans="1:8" ht="31.2" x14ac:dyDescent="0.3">
      <c r="A2" s="9" t="s">
        <v>255</v>
      </c>
      <c r="B2" s="3" t="s">
        <v>48</v>
      </c>
      <c r="C2" s="3" t="s">
        <v>49</v>
      </c>
      <c r="D2" s="3" t="s">
        <v>50</v>
      </c>
      <c r="E2" s="4">
        <v>46249</v>
      </c>
      <c r="F2" s="4">
        <v>46259</v>
      </c>
      <c r="G2" s="3" t="s">
        <v>51</v>
      </c>
      <c r="H2" s="3" t="s">
        <v>52</v>
      </c>
    </row>
    <row r="3" spans="1:8" ht="31.2" x14ac:dyDescent="0.3">
      <c r="A3" s="10" t="s">
        <v>256</v>
      </c>
      <c r="B3" s="3" t="s">
        <v>182</v>
      </c>
      <c r="C3" s="3" t="s">
        <v>183</v>
      </c>
      <c r="D3" s="3" t="s">
        <v>50</v>
      </c>
      <c r="E3" s="4">
        <v>46252</v>
      </c>
      <c r="F3" s="4">
        <v>46262</v>
      </c>
      <c r="G3" s="3" t="s">
        <v>184</v>
      </c>
      <c r="H3" s="3" t="s">
        <v>74</v>
      </c>
    </row>
    <row r="4" spans="1:8" ht="31.2" x14ac:dyDescent="0.3">
      <c r="A4" s="11" t="s">
        <v>257</v>
      </c>
      <c r="B4" s="3" t="s">
        <v>185</v>
      </c>
      <c r="C4" s="3" t="s">
        <v>186</v>
      </c>
      <c r="D4" s="3" t="s">
        <v>187</v>
      </c>
      <c r="E4" s="4">
        <v>46254</v>
      </c>
      <c r="F4" s="4">
        <v>46437</v>
      </c>
      <c r="G4" s="3" t="s">
        <v>188</v>
      </c>
      <c r="H4" s="3" t="s">
        <v>53</v>
      </c>
    </row>
    <row r="5" spans="1:8" ht="31.2" x14ac:dyDescent="0.3">
      <c r="A5" s="10" t="s">
        <v>258</v>
      </c>
      <c r="B5" s="3" t="s">
        <v>189</v>
      </c>
      <c r="C5" s="3" t="s">
        <v>190</v>
      </c>
      <c r="D5" s="3" t="s">
        <v>50</v>
      </c>
      <c r="E5" s="4">
        <v>46255</v>
      </c>
      <c r="F5" s="4">
        <v>46265</v>
      </c>
      <c r="G5" s="3" t="s">
        <v>191</v>
      </c>
      <c r="H5" s="3" t="s">
        <v>192</v>
      </c>
    </row>
    <row r="6" spans="1:8" ht="31.2" x14ac:dyDescent="0.3">
      <c r="A6" s="9" t="s">
        <v>259</v>
      </c>
      <c r="B6" s="3" t="s">
        <v>193</v>
      </c>
      <c r="C6" s="3" t="s">
        <v>194</v>
      </c>
      <c r="D6" s="3" t="s">
        <v>50</v>
      </c>
      <c r="E6" s="4">
        <v>46256</v>
      </c>
      <c r="F6" s="4">
        <v>46266</v>
      </c>
      <c r="G6" s="3" t="s">
        <v>195</v>
      </c>
      <c r="H6" s="3" t="s">
        <v>53</v>
      </c>
    </row>
    <row r="7" spans="1:8" ht="31.2" x14ac:dyDescent="0.3">
      <c r="A7" s="12" t="s">
        <v>260</v>
      </c>
      <c r="B7" s="3" t="s">
        <v>196</v>
      </c>
      <c r="C7" s="3" t="s">
        <v>197</v>
      </c>
      <c r="D7" s="3" t="s">
        <v>198</v>
      </c>
      <c r="E7" s="4">
        <v>46257</v>
      </c>
      <c r="F7" s="4">
        <v>46260</v>
      </c>
      <c r="G7" s="3" t="s">
        <v>199</v>
      </c>
      <c r="H7" s="3" t="s">
        <v>42</v>
      </c>
    </row>
    <row r="8" spans="1:8" ht="31.2" x14ac:dyDescent="0.3">
      <c r="A8" s="9" t="s">
        <v>261</v>
      </c>
      <c r="B8" s="3" t="s">
        <v>200</v>
      </c>
      <c r="C8" s="3" t="s">
        <v>201</v>
      </c>
      <c r="D8" s="3" t="s">
        <v>202</v>
      </c>
      <c r="E8" s="4">
        <v>46258</v>
      </c>
      <c r="F8" s="4">
        <v>46259</v>
      </c>
      <c r="G8" s="3" t="s">
        <v>203</v>
      </c>
      <c r="H8" s="3" t="s">
        <v>52</v>
      </c>
    </row>
    <row r="9" spans="1:8" ht="31.2" x14ac:dyDescent="0.3">
      <c r="A9" s="12" t="s">
        <v>262</v>
      </c>
      <c r="B9" s="3" t="s">
        <v>204</v>
      </c>
      <c r="C9" s="3" t="s">
        <v>205</v>
      </c>
      <c r="D9" s="3" t="s">
        <v>187</v>
      </c>
      <c r="E9" s="4">
        <v>46259</v>
      </c>
      <c r="F9" s="4">
        <v>46623</v>
      </c>
      <c r="G9" s="3" t="s">
        <v>206</v>
      </c>
      <c r="H9" s="3" t="s">
        <v>53</v>
      </c>
    </row>
    <row r="10" spans="1:8" ht="31.2" x14ac:dyDescent="0.3">
      <c r="A10" s="7" t="s">
        <v>263</v>
      </c>
      <c r="B10" s="3" t="s">
        <v>252</v>
      </c>
      <c r="C10" s="3" t="s">
        <v>253</v>
      </c>
      <c r="D10" s="3" t="s">
        <v>187</v>
      </c>
      <c r="E10" s="4">
        <v>46260</v>
      </c>
      <c r="F10" s="4">
        <v>46624</v>
      </c>
      <c r="G10" s="3" t="s">
        <v>254</v>
      </c>
      <c r="H10" s="3" t="s">
        <v>52</v>
      </c>
    </row>
    <row r="11" spans="1:8" x14ac:dyDescent="0.3">
      <c r="B11" s="3"/>
      <c r="C11" s="3"/>
      <c r="D11" s="3"/>
      <c r="E11" s="4"/>
      <c r="F11" s="4"/>
      <c r="G11" s="3"/>
      <c r="H11" s="3"/>
    </row>
  </sheetData>
  <phoneticPr fontId="5" type="noConversion"/>
  <conditionalFormatting sqref="H12:H13">
    <cfRule type="containsText" dxfId="7" priority="1" operator="containsText" text="Expired">
      <formula>NOT(ISERROR(SEARCH("Expired",H12)))</formula>
    </cfRule>
    <cfRule type="containsText" dxfId="6" priority="2" operator="containsText" text="Deferred">
      <formula>NOT(ISERROR(SEARCH("Deferred",H12)))</formula>
    </cfRule>
    <cfRule type="containsText" dxfId="5" priority="3" operator="containsText" text="Rectified">
      <formula>NOT(ISERROR(SEARCH("Rectified",H12)))</formula>
    </cfRule>
  </conditionalFormatting>
  <dataValidations disablePrompts="1" count="1">
    <dataValidation type="list" allowBlank="1" showInputMessage="1" showErrorMessage="1" sqref="H12:H13" xr:uid="{51F00C40-7691-4D19-867E-8B12EB3AA90D}">
      <formula1>"Open, Rectified, Expired, Deferred"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F1F5-3190-43A8-B58F-86F7ECBAD232}">
  <dimension ref="A1:I10"/>
  <sheetViews>
    <sheetView workbookViewId="0">
      <selection activeCell="J6" sqref="J6"/>
    </sheetView>
  </sheetViews>
  <sheetFormatPr defaultRowHeight="15.6" x14ac:dyDescent="0.3"/>
  <cols>
    <col min="1" max="1" width="11" bestFit="1" customWidth="1"/>
    <col min="2" max="2" width="9.19921875" customWidth="1"/>
    <col min="3" max="3" width="26.3984375" customWidth="1"/>
    <col min="4" max="4" width="9" customWidth="1"/>
    <col min="6" max="6" width="14.296875" customWidth="1"/>
    <col min="7" max="7" width="13.3984375" customWidth="1"/>
    <col min="8" max="8" width="13.19921875" customWidth="1"/>
    <col min="9" max="9" width="11.19921875" customWidth="1"/>
  </cols>
  <sheetData>
    <row r="1" spans="1:9" x14ac:dyDescent="0.3">
      <c r="A1" t="s">
        <v>249</v>
      </c>
      <c r="B1" t="s">
        <v>286</v>
      </c>
      <c r="C1" t="s">
        <v>27</v>
      </c>
      <c r="D1" t="s">
        <v>28</v>
      </c>
      <c r="E1" t="s">
        <v>29</v>
      </c>
      <c r="F1" t="s">
        <v>316</v>
      </c>
      <c r="G1" t="s">
        <v>30</v>
      </c>
      <c r="H1" t="s">
        <v>31</v>
      </c>
      <c r="I1" t="s">
        <v>9</v>
      </c>
    </row>
    <row r="2" spans="1:9" x14ac:dyDescent="0.3">
      <c r="A2" s="9" t="s">
        <v>255</v>
      </c>
      <c r="B2" s="3" t="s">
        <v>32</v>
      </c>
      <c r="C2" s="3" t="s">
        <v>33</v>
      </c>
      <c r="D2" s="2">
        <v>8000</v>
      </c>
      <c r="E2" s="2">
        <v>4000</v>
      </c>
      <c r="F2" s="4">
        <v>46275</v>
      </c>
      <c r="G2" s="2">
        <v>1000</v>
      </c>
      <c r="H2" s="2">
        <v>500</v>
      </c>
      <c r="I2" s="3" t="s">
        <v>34</v>
      </c>
    </row>
    <row r="3" spans="1:9" x14ac:dyDescent="0.3">
      <c r="A3" s="10" t="s">
        <v>256</v>
      </c>
      <c r="B3" s="3" t="s">
        <v>149</v>
      </c>
      <c r="C3" s="3" t="s">
        <v>66</v>
      </c>
      <c r="D3" s="2">
        <v>8500</v>
      </c>
      <c r="E3" s="2">
        <v>4250</v>
      </c>
      <c r="F3" s="4">
        <v>46310</v>
      </c>
      <c r="G3" s="2">
        <v>8000</v>
      </c>
      <c r="H3" s="2">
        <v>4000</v>
      </c>
      <c r="I3" s="3" t="s">
        <v>82</v>
      </c>
    </row>
    <row r="4" spans="1:9" ht="34.200000000000003" customHeight="1" x14ac:dyDescent="0.3">
      <c r="A4" s="11" t="s">
        <v>257</v>
      </c>
      <c r="B4" s="3" t="s">
        <v>150</v>
      </c>
      <c r="C4" s="3" t="s">
        <v>151</v>
      </c>
      <c r="D4" s="2">
        <v>10000</v>
      </c>
      <c r="E4" s="2">
        <v>5000</v>
      </c>
      <c r="F4" s="4">
        <v>46376</v>
      </c>
      <c r="G4" s="2">
        <v>7000</v>
      </c>
      <c r="H4" s="2">
        <v>3500</v>
      </c>
      <c r="I4" s="3" t="s">
        <v>74</v>
      </c>
    </row>
    <row r="5" spans="1:9" ht="41.4" customHeight="1" x14ac:dyDescent="0.3">
      <c r="A5" s="10" t="s">
        <v>258</v>
      </c>
      <c r="B5" s="3" t="s">
        <v>152</v>
      </c>
      <c r="C5" s="3" t="s">
        <v>153</v>
      </c>
      <c r="D5" s="2">
        <v>9000</v>
      </c>
      <c r="E5" s="2">
        <v>4500</v>
      </c>
      <c r="F5" s="4">
        <v>46295</v>
      </c>
      <c r="G5" s="2">
        <v>8200</v>
      </c>
      <c r="H5" s="2">
        <v>4100</v>
      </c>
      <c r="I5" s="3" t="s">
        <v>82</v>
      </c>
    </row>
    <row r="6" spans="1:9" ht="41.4" customHeight="1" x14ac:dyDescent="0.3">
      <c r="A6" s="9" t="s">
        <v>259</v>
      </c>
      <c r="B6" s="3" t="s">
        <v>154</v>
      </c>
      <c r="C6" s="3" t="s">
        <v>155</v>
      </c>
      <c r="D6" s="2">
        <v>12000</v>
      </c>
      <c r="E6" s="2">
        <v>6000</v>
      </c>
      <c r="F6" s="4">
        <v>46402</v>
      </c>
      <c r="G6" s="2">
        <v>6000</v>
      </c>
      <c r="H6" s="2">
        <v>3000</v>
      </c>
      <c r="I6" s="3" t="s">
        <v>74</v>
      </c>
    </row>
    <row r="7" spans="1:9" x14ac:dyDescent="0.3">
      <c r="A7" s="12" t="s">
        <v>260</v>
      </c>
      <c r="B7" s="3" t="s">
        <v>156</v>
      </c>
      <c r="C7" s="3" t="s">
        <v>157</v>
      </c>
      <c r="D7" s="2">
        <v>9500</v>
      </c>
      <c r="E7" s="2">
        <v>4750</v>
      </c>
      <c r="F7" s="4">
        <v>46331</v>
      </c>
      <c r="G7" s="2">
        <v>9300</v>
      </c>
      <c r="H7" s="2">
        <v>4650</v>
      </c>
      <c r="I7" s="3" t="s">
        <v>42</v>
      </c>
    </row>
    <row r="8" spans="1:9" ht="40.799999999999997" customHeight="1" x14ac:dyDescent="0.3">
      <c r="A8" s="9" t="s">
        <v>261</v>
      </c>
      <c r="B8" s="3" t="s">
        <v>158</v>
      </c>
      <c r="C8" s="3" t="s">
        <v>159</v>
      </c>
      <c r="D8" s="2">
        <v>11000</v>
      </c>
      <c r="E8" s="2">
        <v>5500</v>
      </c>
      <c r="F8" s="4">
        <v>46443</v>
      </c>
      <c r="G8" s="2">
        <v>7500</v>
      </c>
      <c r="H8" s="2">
        <v>3750</v>
      </c>
      <c r="I8" s="3" t="s">
        <v>74</v>
      </c>
    </row>
    <row r="9" spans="1:9" x14ac:dyDescent="0.3">
      <c r="A9" s="12" t="s">
        <v>262</v>
      </c>
      <c r="B9" s="3" t="s">
        <v>160</v>
      </c>
      <c r="C9" s="3" t="s">
        <v>161</v>
      </c>
      <c r="D9" s="2">
        <v>10500</v>
      </c>
      <c r="E9" s="2">
        <v>5250</v>
      </c>
      <c r="F9" s="4">
        <v>46252</v>
      </c>
      <c r="G9" s="2">
        <v>10400</v>
      </c>
      <c r="H9" s="2">
        <v>5200</v>
      </c>
      <c r="I9" s="3" t="s">
        <v>82</v>
      </c>
    </row>
    <row r="10" spans="1:9" x14ac:dyDescent="0.3">
      <c r="A10" s="7" t="s">
        <v>263</v>
      </c>
      <c r="B10" s="3" t="s">
        <v>250</v>
      </c>
      <c r="C10" s="3" t="s">
        <v>161</v>
      </c>
      <c r="D10" s="2">
        <v>12000</v>
      </c>
      <c r="E10" s="2">
        <v>6000</v>
      </c>
      <c r="F10" s="4">
        <v>46378</v>
      </c>
      <c r="G10" s="2">
        <v>10000</v>
      </c>
      <c r="H10" s="2">
        <v>5000</v>
      </c>
      <c r="I10" s="3" t="s">
        <v>74</v>
      </c>
    </row>
  </sheetData>
  <phoneticPr fontId="5" type="noConversion"/>
  <conditionalFormatting sqref="I12:I18">
    <cfRule type="containsText" dxfId="4" priority="1" operator="containsText" text="Completed">
      <formula>NOT(ISERROR(SEARCH("Completed",I12)))</formula>
    </cfRule>
    <cfRule type="containsText" dxfId="3" priority="2" operator="containsText" text="Overdue">
      <formula>NOT(ISERROR(SEARCH("Overdue",I12)))</formula>
    </cfRule>
  </conditionalFormatting>
  <dataValidations count="1">
    <dataValidation type="list" allowBlank="1" showInputMessage="1" showErrorMessage="1" sqref="I12:I18" xr:uid="{368DD5F5-0C9B-4C30-83CA-0970A5F90C61}">
      <formula1>"Not due, Due soon, Overdue, Completed"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5BDE-D815-42CE-829A-40F908B96E4F}">
  <dimension ref="A1:G11"/>
  <sheetViews>
    <sheetView workbookViewId="0">
      <selection activeCell="I10" sqref="I10"/>
    </sheetView>
  </sheetViews>
  <sheetFormatPr defaultRowHeight="15.6" x14ac:dyDescent="0.3"/>
  <cols>
    <col min="1" max="1" width="19.59765625" customWidth="1"/>
    <col min="2" max="2" width="22.8984375" customWidth="1"/>
    <col min="3" max="3" width="16.19921875" customWidth="1"/>
    <col min="4" max="4" width="13" customWidth="1"/>
    <col min="5" max="5" width="12.296875" customWidth="1"/>
    <col min="6" max="6" width="10.19921875" customWidth="1"/>
    <col min="7" max="7" width="14.19921875" customWidth="1"/>
  </cols>
  <sheetData>
    <row r="1" spans="1:7" x14ac:dyDescent="0.3">
      <c r="A1" t="s">
        <v>249</v>
      </c>
      <c r="B1" t="s">
        <v>61</v>
      </c>
      <c r="C1" t="s">
        <v>62</v>
      </c>
      <c r="D1" t="s">
        <v>63</v>
      </c>
      <c r="E1" t="s">
        <v>64</v>
      </c>
      <c r="F1" t="s">
        <v>47</v>
      </c>
      <c r="G1" t="s">
        <v>65</v>
      </c>
    </row>
    <row r="2" spans="1:7" x14ac:dyDescent="0.3">
      <c r="A2" s="9" t="s">
        <v>255</v>
      </c>
      <c r="B2" s="4">
        <v>46249</v>
      </c>
      <c r="C2" s="3" t="s">
        <v>66</v>
      </c>
      <c r="D2" s="3" t="s">
        <v>67</v>
      </c>
      <c r="E2" s="3" t="s">
        <v>68</v>
      </c>
      <c r="F2" s="3" t="s">
        <v>51</v>
      </c>
      <c r="G2" s="3" t="s">
        <v>69</v>
      </c>
    </row>
    <row r="3" spans="1:7" x14ac:dyDescent="0.3">
      <c r="A3" s="10" t="s">
        <v>256</v>
      </c>
      <c r="B3" s="4">
        <v>46081</v>
      </c>
      <c r="C3" s="3" t="s">
        <v>232</v>
      </c>
      <c r="D3" s="3" t="s">
        <v>67</v>
      </c>
      <c r="E3" s="3" t="s">
        <v>233</v>
      </c>
      <c r="F3" s="3" t="s">
        <v>184</v>
      </c>
      <c r="G3" s="3" t="s">
        <v>234</v>
      </c>
    </row>
    <row r="4" spans="1:7" x14ac:dyDescent="0.3">
      <c r="A4" s="11" t="s">
        <v>257</v>
      </c>
      <c r="B4" s="4">
        <v>45981</v>
      </c>
      <c r="C4" s="3" t="s">
        <v>33</v>
      </c>
      <c r="D4" s="3" t="s">
        <v>67</v>
      </c>
      <c r="E4" s="3" t="s">
        <v>235</v>
      </c>
      <c r="F4" s="3" t="s">
        <v>188</v>
      </c>
      <c r="G4" s="3" t="s">
        <v>236</v>
      </c>
    </row>
    <row r="5" spans="1:7" ht="31.2" x14ac:dyDescent="0.3">
      <c r="A5" s="10" t="s">
        <v>258</v>
      </c>
      <c r="B5" s="4">
        <v>45850</v>
      </c>
      <c r="C5" s="3" t="s">
        <v>237</v>
      </c>
      <c r="D5" s="3" t="s">
        <v>67</v>
      </c>
      <c r="E5" s="3" t="s">
        <v>238</v>
      </c>
      <c r="F5" s="3" t="s">
        <v>191</v>
      </c>
      <c r="G5" s="3" t="s">
        <v>239</v>
      </c>
    </row>
    <row r="6" spans="1:7" ht="31.2" x14ac:dyDescent="0.3">
      <c r="A6" s="9" t="s">
        <v>259</v>
      </c>
      <c r="B6" s="4">
        <v>45785</v>
      </c>
      <c r="C6" s="3" t="s">
        <v>151</v>
      </c>
      <c r="D6" s="3" t="s">
        <v>67</v>
      </c>
      <c r="E6" s="3" t="s">
        <v>240</v>
      </c>
      <c r="F6" s="3" t="s">
        <v>195</v>
      </c>
      <c r="G6" s="3" t="s">
        <v>241</v>
      </c>
    </row>
    <row r="7" spans="1:7" ht="31.2" x14ac:dyDescent="0.3">
      <c r="A7" s="12" t="s">
        <v>260</v>
      </c>
      <c r="B7" s="4">
        <v>45706</v>
      </c>
      <c r="C7" s="3" t="s">
        <v>242</v>
      </c>
      <c r="D7" s="3" t="s">
        <v>67</v>
      </c>
      <c r="E7" s="3" t="s">
        <v>243</v>
      </c>
      <c r="F7" s="3" t="s">
        <v>199</v>
      </c>
      <c r="G7" s="3" t="s">
        <v>244</v>
      </c>
    </row>
    <row r="8" spans="1:7" x14ac:dyDescent="0.3">
      <c r="A8" s="9" t="s">
        <v>261</v>
      </c>
      <c r="B8" s="4">
        <v>45636</v>
      </c>
      <c r="C8" s="3" t="s">
        <v>66</v>
      </c>
      <c r="D8" s="3" t="s">
        <v>67</v>
      </c>
      <c r="E8" s="3" t="s">
        <v>245</v>
      </c>
      <c r="F8" s="3" t="s">
        <v>225</v>
      </c>
      <c r="G8" s="3" t="s">
        <v>239</v>
      </c>
    </row>
    <row r="9" spans="1:7" ht="31.2" x14ac:dyDescent="0.3">
      <c r="A9" s="12" t="s">
        <v>262</v>
      </c>
      <c r="B9" s="4">
        <v>45519</v>
      </c>
      <c r="C9" s="3" t="s">
        <v>246</v>
      </c>
      <c r="D9" s="3" t="s">
        <v>67</v>
      </c>
      <c r="E9" s="3" t="s">
        <v>247</v>
      </c>
      <c r="F9" s="3" t="s">
        <v>206</v>
      </c>
      <c r="G9" s="3" t="s">
        <v>248</v>
      </c>
    </row>
    <row r="10" spans="1:7" x14ac:dyDescent="0.3">
      <c r="A10" s="7" t="s">
        <v>263</v>
      </c>
      <c r="B10" s="1">
        <v>46248</v>
      </c>
      <c r="C10" t="s">
        <v>268</v>
      </c>
      <c r="D10" s="3" t="s">
        <v>67</v>
      </c>
      <c r="E10" s="3" t="s">
        <v>269</v>
      </c>
      <c r="F10" t="s">
        <v>270</v>
      </c>
      <c r="G10" t="s">
        <v>271</v>
      </c>
    </row>
    <row r="11" spans="1:7" x14ac:dyDescent="0.3">
      <c r="A11" t="s">
        <v>261</v>
      </c>
      <c r="B11" s="22">
        <v>46081</v>
      </c>
      <c r="C11" t="s">
        <v>232</v>
      </c>
      <c r="D11" t="s">
        <v>67</v>
      </c>
      <c r="E11" t="s">
        <v>233</v>
      </c>
      <c r="F11" t="s">
        <v>184</v>
      </c>
      <c r="G11" t="s">
        <v>234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AD95-C710-43A3-8F72-C431DAE56A65}">
  <dimension ref="A1:H11"/>
  <sheetViews>
    <sheetView zoomScale="81" zoomScaleNormal="90" workbookViewId="0">
      <selection activeCell="J9" sqref="J9"/>
    </sheetView>
  </sheetViews>
  <sheetFormatPr defaultRowHeight="15.6" x14ac:dyDescent="0.3"/>
  <cols>
    <col min="1" max="1" width="20.69921875" customWidth="1"/>
    <col min="2" max="2" width="17.69921875" customWidth="1"/>
    <col min="3" max="3" width="17.3984375" customWidth="1"/>
    <col min="4" max="4" width="17.796875" customWidth="1"/>
    <col min="5" max="5" width="32.8984375" bestFit="1" customWidth="1"/>
    <col min="6" max="6" width="19" customWidth="1"/>
    <col min="7" max="7" width="12.5" customWidth="1"/>
    <col min="8" max="8" width="16.3984375" customWidth="1"/>
  </cols>
  <sheetData>
    <row r="1" spans="1:8" x14ac:dyDescent="0.3">
      <c r="A1" t="s">
        <v>249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47</v>
      </c>
      <c r="H1" t="s">
        <v>59</v>
      </c>
    </row>
    <row r="2" spans="1:8" x14ac:dyDescent="0.3">
      <c r="A2" s="9" t="s">
        <v>255</v>
      </c>
      <c r="B2" s="5">
        <v>46236</v>
      </c>
      <c r="C2" s="3" t="s">
        <v>70</v>
      </c>
      <c r="D2" s="3" t="s">
        <v>71</v>
      </c>
      <c r="E2" s="3" t="s">
        <v>207</v>
      </c>
      <c r="F2" s="3" t="s">
        <v>208</v>
      </c>
      <c r="G2" s="3" t="s">
        <v>51</v>
      </c>
      <c r="H2" s="3" t="s">
        <v>60</v>
      </c>
    </row>
    <row r="3" spans="1:8" ht="46.8" x14ac:dyDescent="0.3">
      <c r="A3" s="10" t="s">
        <v>256</v>
      </c>
      <c r="B3" s="5">
        <v>46237</v>
      </c>
      <c r="C3" s="3" t="s">
        <v>209</v>
      </c>
      <c r="D3" s="3" t="s">
        <v>210</v>
      </c>
      <c r="E3" s="3" t="s">
        <v>211</v>
      </c>
      <c r="F3" s="3" t="s">
        <v>212</v>
      </c>
      <c r="G3" s="3" t="s">
        <v>184</v>
      </c>
      <c r="H3" s="3" t="s">
        <v>60</v>
      </c>
    </row>
    <row r="4" spans="1:8" ht="62.4" x14ac:dyDescent="0.3">
      <c r="A4" s="11" t="s">
        <v>257</v>
      </c>
      <c r="B4" s="5">
        <v>46238</v>
      </c>
      <c r="C4" s="3" t="s">
        <v>213</v>
      </c>
      <c r="D4" s="3" t="s">
        <v>71</v>
      </c>
      <c r="E4" s="3" t="s">
        <v>214</v>
      </c>
      <c r="F4" s="3" t="s">
        <v>215</v>
      </c>
      <c r="G4" s="3" t="s">
        <v>188</v>
      </c>
      <c r="H4" s="3" t="s">
        <v>60</v>
      </c>
    </row>
    <row r="5" spans="1:8" ht="31.2" x14ac:dyDescent="0.3">
      <c r="A5" s="10" t="s">
        <v>258</v>
      </c>
      <c r="B5" s="5">
        <v>46239</v>
      </c>
      <c r="C5" s="3" t="s">
        <v>216</v>
      </c>
      <c r="D5" s="3" t="s">
        <v>210</v>
      </c>
      <c r="E5" s="3" t="s">
        <v>217</v>
      </c>
      <c r="F5" s="3" t="s">
        <v>218</v>
      </c>
      <c r="G5" s="3" t="s">
        <v>191</v>
      </c>
      <c r="H5" s="3" t="s">
        <v>60</v>
      </c>
    </row>
    <row r="6" spans="1:8" ht="31.2" x14ac:dyDescent="0.3">
      <c r="A6" s="9" t="s">
        <v>259</v>
      </c>
      <c r="B6" s="5">
        <v>46240</v>
      </c>
      <c r="C6" s="3" t="s">
        <v>219</v>
      </c>
      <c r="D6" s="3" t="s">
        <v>71</v>
      </c>
      <c r="E6" s="3" t="s">
        <v>220</v>
      </c>
      <c r="F6" s="3" t="s">
        <v>221</v>
      </c>
      <c r="G6" s="3" t="s">
        <v>199</v>
      </c>
      <c r="H6" s="3" t="s">
        <v>60</v>
      </c>
    </row>
    <row r="7" spans="1:8" ht="46.8" x14ac:dyDescent="0.3">
      <c r="A7" s="12" t="s">
        <v>260</v>
      </c>
      <c r="B7" s="5">
        <v>46241</v>
      </c>
      <c r="C7" s="3" t="s">
        <v>222</v>
      </c>
      <c r="D7" s="3" t="s">
        <v>210</v>
      </c>
      <c r="E7" s="3" t="s">
        <v>223</v>
      </c>
      <c r="F7" s="3" t="s">
        <v>224</v>
      </c>
      <c r="G7" s="3" t="s">
        <v>225</v>
      </c>
      <c r="H7" s="3" t="s">
        <v>60</v>
      </c>
    </row>
    <row r="8" spans="1:8" ht="62.4" x14ac:dyDescent="0.3">
      <c r="A8" s="9" t="s">
        <v>261</v>
      </c>
      <c r="B8" s="5">
        <v>46242</v>
      </c>
      <c r="C8" s="3" t="s">
        <v>226</v>
      </c>
      <c r="D8" s="3" t="s">
        <v>71</v>
      </c>
      <c r="E8" s="3" t="s">
        <v>227</v>
      </c>
      <c r="F8" s="3" t="s">
        <v>228</v>
      </c>
      <c r="G8" s="3" t="s">
        <v>206</v>
      </c>
      <c r="H8" s="3" t="s">
        <v>60</v>
      </c>
    </row>
    <row r="9" spans="1:8" ht="46.8" x14ac:dyDescent="0.3">
      <c r="A9" s="12" t="s">
        <v>262</v>
      </c>
      <c r="B9" s="5">
        <v>46243</v>
      </c>
      <c r="C9" s="3" t="s">
        <v>229</v>
      </c>
      <c r="D9" s="3" t="s">
        <v>210</v>
      </c>
      <c r="E9" s="3" t="s">
        <v>230</v>
      </c>
      <c r="F9" s="3" t="s">
        <v>231</v>
      </c>
      <c r="G9" s="3" t="s">
        <v>195</v>
      </c>
      <c r="H9" s="3" t="s">
        <v>60</v>
      </c>
    </row>
    <row r="10" spans="1:8" x14ac:dyDescent="0.3">
      <c r="A10" s="7" t="s">
        <v>263</v>
      </c>
      <c r="B10" s="1">
        <v>46320</v>
      </c>
      <c r="C10" t="s">
        <v>273</v>
      </c>
      <c r="D10" t="s">
        <v>264</v>
      </c>
      <c r="E10" t="s">
        <v>265</v>
      </c>
      <c r="F10" t="s">
        <v>266</v>
      </c>
      <c r="G10" t="s">
        <v>267</v>
      </c>
      <c r="H10" t="s">
        <v>60</v>
      </c>
    </row>
    <row r="11" spans="1:8" x14ac:dyDescent="0.3">
      <c r="A11" t="s">
        <v>261</v>
      </c>
      <c r="B11" s="1">
        <v>46185</v>
      </c>
      <c r="C11" t="s">
        <v>305</v>
      </c>
      <c r="D11" t="s">
        <v>306</v>
      </c>
      <c r="E11" t="s">
        <v>307</v>
      </c>
      <c r="F11" t="s">
        <v>308</v>
      </c>
      <c r="G11" t="s">
        <v>203</v>
      </c>
      <c r="H11" t="s">
        <v>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F9F4-6F10-445C-8A23-83C7340690AF}">
  <dimension ref="A1:I11"/>
  <sheetViews>
    <sheetView workbookViewId="0">
      <selection activeCell="I4" sqref="I4"/>
    </sheetView>
  </sheetViews>
  <sheetFormatPr defaultRowHeight="15.6" x14ac:dyDescent="0.3"/>
  <cols>
    <col min="1" max="1" width="11" bestFit="1" customWidth="1"/>
    <col min="2" max="2" width="11.59765625" customWidth="1"/>
    <col min="3" max="3" width="13.796875" customWidth="1"/>
    <col min="4" max="4" width="17.09765625" customWidth="1"/>
    <col min="5" max="5" width="15.296875" customWidth="1"/>
    <col min="6" max="6" width="12.796875" customWidth="1"/>
    <col min="7" max="7" width="17.796875" customWidth="1"/>
    <col min="8" max="8" width="19.8984375" customWidth="1"/>
    <col min="9" max="9" width="22" customWidth="1"/>
  </cols>
  <sheetData>
    <row r="1" spans="1:9" x14ac:dyDescent="0.3">
      <c r="A1" t="s">
        <v>249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9</v>
      </c>
    </row>
    <row r="2" spans="1:9" x14ac:dyDescent="0.3">
      <c r="A2" s="9" t="s">
        <v>255</v>
      </c>
      <c r="B2" s="3" t="s">
        <v>43</v>
      </c>
      <c r="C2" s="2">
        <v>113321</v>
      </c>
      <c r="D2" s="3" t="s">
        <v>162</v>
      </c>
      <c r="E2" s="3" t="s">
        <v>163</v>
      </c>
      <c r="F2" s="2">
        <v>15000</v>
      </c>
      <c r="G2" s="2">
        <v>12500</v>
      </c>
      <c r="H2" s="2">
        <f>LLP­­­­_Table[[#This Row],[Life limit]]-LLP­­­­_Table[[#This Row],[Current cycles]]</f>
        <v>2500</v>
      </c>
      <c r="I2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Monitor</v>
      </c>
    </row>
    <row r="3" spans="1:9" x14ac:dyDescent="0.3">
      <c r="A3" s="10" t="s">
        <v>256</v>
      </c>
      <c r="B3" s="3" t="s">
        <v>164</v>
      </c>
      <c r="C3" s="2">
        <v>224578</v>
      </c>
      <c r="D3" s="3" t="s">
        <v>165</v>
      </c>
      <c r="E3" s="3" t="s">
        <v>166</v>
      </c>
      <c r="F3" s="2">
        <v>20000</v>
      </c>
      <c r="G3" s="2">
        <v>18750</v>
      </c>
      <c r="H3" s="2">
        <f>LLP­­­­_Table[[#This Row],[Life limit]]-LLP­­­­_Table[[#This Row],[Current cycles]]</f>
        <v>1250</v>
      </c>
      <c r="I3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Plan replacement</v>
      </c>
    </row>
    <row r="4" spans="1:9" x14ac:dyDescent="0.3">
      <c r="A4" s="11" t="s">
        <v>257</v>
      </c>
      <c r="B4" s="3" t="s">
        <v>167</v>
      </c>
      <c r="C4" s="2">
        <v>224579</v>
      </c>
      <c r="D4" s="3" t="s">
        <v>165</v>
      </c>
      <c r="E4" s="3" t="s">
        <v>168</v>
      </c>
      <c r="F4" s="2">
        <v>20000</v>
      </c>
      <c r="G4" s="2">
        <v>16100</v>
      </c>
      <c r="H4" s="2">
        <f>LLP­­­­_Table[[#This Row],[Life limit]]-LLP­­­­_Table[[#This Row],[Current cycles]]</f>
        <v>3900</v>
      </c>
      <c r="I4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Monitor</v>
      </c>
    </row>
    <row r="5" spans="1:9" x14ac:dyDescent="0.3">
      <c r="A5" s="10" t="s">
        <v>258</v>
      </c>
      <c r="B5" s="3" t="s">
        <v>169</v>
      </c>
      <c r="C5" s="2">
        <v>334122</v>
      </c>
      <c r="D5" s="3" t="s">
        <v>170</v>
      </c>
      <c r="E5" s="3" t="s">
        <v>171</v>
      </c>
      <c r="F5" s="2">
        <v>10000</v>
      </c>
      <c r="G5" s="2">
        <v>9400</v>
      </c>
      <c r="H5" s="2">
        <f>LLP­­­­_Table[[#This Row],[Life limit]]-LLP­­­­_Table[[#This Row],[Current cycles]]</f>
        <v>600</v>
      </c>
      <c r="I5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Urgent Replacement</v>
      </c>
    </row>
    <row r="6" spans="1:9" x14ac:dyDescent="0.3">
      <c r="A6" s="9" t="s">
        <v>259</v>
      </c>
      <c r="B6" s="3" t="s">
        <v>172</v>
      </c>
      <c r="C6" s="2">
        <v>334123</v>
      </c>
      <c r="D6" s="3" t="s">
        <v>170</v>
      </c>
      <c r="E6" s="3" t="s">
        <v>173</v>
      </c>
      <c r="F6" s="2">
        <v>10000</v>
      </c>
      <c r="G6" s="2">
        <v>7600</v>
      </c>
      <c r="H6" s="2">
        <f>LLP­­­­_Table[[#This Row],[Life limit]]-LLP­­­­_Table[[#This Row],[Current cycles]]</f>
        <v>2400</v>
      </c>
      <c r="I6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Plan replacement</v>
      </c>
    </row>
    <row r="7" spans="1:9" ht="30.6" customHeight="1" x14ac:dyDescent="0.3">
      <c r="A7" s="12" t="s">
        <v>260</v>
      </c>
      <c r="B7" s="3" t="s">
        <v>174</v>
      </c>
      <c r="C7" s="2">
        <v>556781</v>
      </c>
      <c r="D7" s="3" t="s">
        <v>175</v>
      </c>
      <c r="E7" s="3" t="s">
        <v>176</v>
      </c>
      <c r="F7" s="2">
        <v>12000</v>
      </c>
      <c r="G7" s="2">
        <v>8200</v>
      </c>
      <c r="H7" s="2">
        <f>LLP­­­­_Table[[#This Row],[Life limit]]-LLP­­­­_Table[[#This Row],[Current cycles]]</f>
        <v>3800</v>
      </c>
      <c r="I7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Monitor</v>
      </c>
    </row>
    <row r="8" spans="1:9" x14ac:dyDescent="0.3">
      <c r="A8" s="9" t="s">
        <v>261</v>
      </c>
      <c r="B8" s="3" t="s">
        <v>177</v>
      </c>
      <c r="C8" s="2">
        <v>661245</v>
      </c>
      <c r="D8" s="3" t="s">
        <v>178</v>
      </c>
      <c r="E8" s="3" t="s">
        <v>179</v>
      </c>
      <c r="F8" s="2">
        <v>18000</v>
      </c>
      <c r="G8" s="2">
        <v>9000</v>
      </c>
      <c r="H8" s="2">
        <f>LLP­­­­_Table[[#This Row],[Life limit]]-LLP­­­­_Table[[#This Row],[Current cycles]]</f>
        <v>9000</v>
      </c>
      <c r="I8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normal</v>
      </c>
    </row>
    <row r="9" spans="1:9" x14ac:dyDescent="0.3">
      <c r="A9" s="12" t="s">
        <v>262</v>
      </c>
      <c r="B9" s="3" t="s">
        <v>180</v>
      </c>
      <c r="C9" s="2">
        <v>661246</v>
      </c>
      <c r="D9" s="3" t="s">
        <v>178</v>
      </c>
      <c r="E9" s="3" t="s">
        <v>181</v>
      </c>
      <c r="F9" s="2">
        <v>18000</v>
      </c>
      <c r="G9" s="2">
        <v>17200</v>
      </c>
      <c r="H9" s="2">
        <f>LLP­­­­_Table[[#This Row],[Life limit]]-LLP­­­­_Table[[#This Row],[Current cycles]]</f>
        <v>800</v>
      </c>
      <c r="I9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Urgent Replacement</v>
      </c>
    </row>
    <row r="10" spans="1:9" x14ac:dyDescent="0.3">
      <c r="A10" s="7" t="s">
        <v>263</v>
      </c>
      <c r="B10" t="s">
        <v>43</v>
      </c>
      <c r="C10">
        <v>23991</v>
      </c>
      <c r="D10" t="s">
        <v>162</v>
      </c>
      <c r="E10" t="s">
        <v>251</v>
      </c>
      <c r="F10">
        <v>21000</v>
      </c>
      <c r="G10">
        <v>19250</v>
      </c>
      <c r="H10" s="2">
        <f>LLP­­­­_Table[[#This Row],[Life limit]]-LLP­­­­_Table[[#This Row],[Current cycles]]</f>
        <v>1750</v>
      </c>
      <c r="I10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Plan replacement</v>
      </c>
    </row>
    <row r="11" spans="1:9" x14ac:dyDescent="0.3">
      <c r="A11" t="s">
        <v>258</v>
      </c>
      <c r="B11" t="s">
        <v>43</v>
      </c>
      <c r="C11">
        <v>94523</v>
      </c>
      <c r="D11" t="s">
        <v>162</v>
      </c>
      <c r="E11" t="s">
        <v>171</v>
      </c>
      <c r="F11">
        <v>21203</v>
      </c>
      <c r="G11">
        <v>21200</v>
      </c>
      <c r="H11" s="2">
        <f>LLP­­­­_Table[[#This Row],[Life limit]]-LLP­­­­_Table[[#This Row],[Current cycles]]</f>
        <v>3</v>
      </c>
      <c r="I11" s="3" t="str">
        <f>IF(LLP­­­­_Table[[#This Row],[remaining cycles]]&lt;1000,"Urgent Replacement",IF(LLP­­­­_Table[[#This Row],[remaining cycles]]&lt;2500,"Plan replacement",IF(LLP­­­­_Table[[#This Row],[remaining cycles]]&lt;5000,"Monitor","normal")))</f>
        <v>Urgent Replacement</v>
      </c>
    </row>
  </sheetData>
  <phoneticPr fontId="5" type="noConversion"/>
  <conditionalFormatting sqref="I12:I18">
    <cfRule type="containsText" dxfId="2" priority="1" operator="containsText" text="Urgent replacement">
      <formula>NOT(ISERROR(SEARCH("Urgent replacement",I12)))</formula>
    </cfRule>
    <cfRule type="containsText" dxfId="1" priority="2" operator="containsText" text="Normal">
      <formula>NOT(ISERROR(SEARCH("Normal",I12)))</formula>
    </cfRule>
    <cfRule type="containsText" dxfId="0" priority="3" operator="containsText" text="plan">
      <formula>NOT(ISERROR(SEARCH("plan",I12)))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D152-07C3-4616-9D8A-77AA5E5E935E}">
  <dimension ref="A1:R7"/>
  <sheetViews>
    <sheetView workbookViewId="0">
      <selection activeCell="J7" sqref="J7:J8"/>
    </sheetView>
  </sheetViews>
  <sheetFormatPr defaultRowHeight="15.6" x14ac:dyDescent="0.3"/>
  <cols>
    <col min="1" max="1" width="12.296875" bestFit="1" customWidth="1"/>
    <col min="3" max="3" width="10.59765625" customWidth="1"/>
    <col min="4" max="4" width="22.296875" bestFit="1" customWidth="1"/>
    <col min="5" max="5" width="10.09765625" bestFit="1" customWidth="1"/>
    <col min="7" max="7" width="13" customWidth="1"/>
    <col min="8" max="8" width="18" customWidth="1"/>
    <col min="9" max="9" width="13.19921875" bestFit="1" customWidth="1"/>
  </cols>
  <sheetData>
    <row r="1" spans="1:18" ht="29.4" customHeight="1" x14ac:dyDescent="0.6">
      <c r="A1" s="68" t="s">
        <v>321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x14ac:dyDescent="0.3">
      <c r="A2" t="s">
        <v>322</v>
      </c>
      <c r="B2" t="str">
        <f>DASHBOARD!D3</f>
        <v>VT-ABC</v>
      </c>
    </row>
    <row r="5" spans="1:18" x14ac:dyDescent="0.3">
      <c r="A5" t="s">
        <v>249</v>
      </c>
      <c r="B5" t="s">
        <v>310</v>
      </c>
      <c r="C5" t="s">
        <v>284</v>
      </c>
      <c r="D5" t="s">
        <v>323</v>
      </c>
      <c r="E5" t="s">
        <v>294</v>
      </c>
      <c r="F5" t="s">
        <v>9</v>
      </c>
      <c r="G5" t="s">
        <v>312</v>
      </c>
      <c r="H5" t="s">
        <v>324</v>
      </c>
      <c r="I5" t="s">
        <v>325</v>
      </c>
    </row>
    <row r="6" spans="1:18" x14ac:dyDescent="0.3">
      <c r="A6" t="str" cm="1">
        <f t="array" ref="A6">_xlfn._xlws.FILTER(AD_Table[Registration],AD_Table[Registration]='MAINTENANCE PLANNING'!$B$2,"")</f>
        <v>VT-ABC</v>
      </c>
      <c r="B6" t="str" cm="1">
        <f t="array" ref="B6">IF(_xlfn.ANCHORARRAY(A6)&lt;&gt;"","AD","")</f>
        <v>AD</v>
      </c>
      <c r="C6" t="str" cm="1">
        <f t="array" ref="C6">_xlfn._xlws.FILTER(AD_Table[AD NUMBER],AD_Table[Registration]='MAINTENANCE PLANNING'!$B$2,"")</f>
        <v>2026-5423</v>
      </c>
      <c r="D6" t="str" cm="1">
        <f t="array" ref="D6">_xlfn._xlws.FILTER(AD_Table[DESCRIPTION],AD_Table[Registration]='MAINTENANCE PLANNING'!$B$2,"")</f>
        <v>Elevator Inspection</v>
      </c>
      <c r="E6" s="1" cm="1">
        <f t="array" ref="E6">_xlfn._xlws.FILTER(AD_Table[DUE DATE],AD_Table[Registration]='MAINTENANCE PLANNING'!$B$2,"")</f>
        <v>46249</v>
      </c>
      <c r="F6" t="str" cm="1">
        <f t="array" ref="F6">_xlfn._xlws.FILTER(AD_Table[STATUS],AD_Table[Registration]='MAINTENANCE PLANNING'!$B$2,"")</f>
        <v>Overdue</v>
      </c>
      <c r="G6" t="str" cm="1">
        <f t="array" ref="G6">IF(_xlfn.ANCHORARRAY(F6)="","",IF(_xlfn.ANCHORARRAY(F6)="Overdue","CRITICAL",IF(_xlfn.ANCHORARRAY(F6)="Due soon","HIGH",IF(_xlfn.ANCHORARRAY(F6)="Open","MEDIUM",IF(_xlfn.ANCHORARRAY(F6)="Complied","LOW","MEDIUM")))))</f>
        <v>CRITICAL</v>
      </c>
      <c r="H6" t="str" cm="1">
        <f t="array" aca="1" ref="H6" ca="1">IF(_xlfn.ANCHORARRAY(E6)="","",IF(_xlfn.ANCHORARRAY(F6)="Overdue","IMMEDIATE ACTION",IF(_xlfn.ANCHORARRAY(E6)-TODAY()&lt;=7,"NEXT 7 DAYS",IF(_xlfn.ANCHORARRAY(E6)-TODAY()&lt;=30,"NEXT 30 DAYS","FUTURE PLANNING"))))</f>
        <v>IMMEDIATE ACTION</v>
      </c>
      <c r="I6" cm="1">
        <f t="array" aca="1" ref="I6" ca="1">IF(_xlfn.ANCHORARRAY(F6)="","",IF(_xlfn.ANCHORARRAY(F6)="Overdue",1000,IF(_xlfn.ANCHORARRAY(F6)="Due soon",500,IF(_xlfn.ANCHORARRAY(F6)="Open",200,IF(_xlfn.ANCHORARRAY(F6)="In Progress",300,0))))+MAX(0,30-(_xlfn.ANCHORARRAY(E6)-TODAY())))</f>
        <v>1052</v>
      </c>
    </row>
    <row r="7" spans="1:18" x14ac:dyDescent="0.3">
      <c r="E7" s="1"/>
    </row>
  </sheetData>
  <mergeCells count="1">
    <mergeCell ref="A1:R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65B7E-6DCF-46CA-8B3F-C4A7058EB811}">
          <x14:formula1>
            <xm:f>'Aircraft INFORMATION'!$A$2:$A$10</xm:f>
          </x14:formula1>
          <xm:sqref>B2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46A8-2F63-48C1-A5A2-5E726EB38BF4}">
  <dimension ref="A1:K3"/>
  <sheetViews>
    <sheetView workbookViewId="0">
      <selection activeCell="G16" sqref="G16:G17"/>
    </sheetView>
  </sheetViews>
  <sheetFormatPr defaultRowHeight="15.6" x14ac:dyDescent="0.3"/>
  <cols>
    <col min="1" max="1" width="11" bestFit="1" customWidth="1"/>
    <col min="2" max="2" width="15" bestFit="1" customWidth="1"/>
    <col min="3" max="3" width="13" customWidth="1"/>
    <col min="4" max="4" width="22.296875" bestFit="1" customWidth="1"/>
    <col min="5" max="5" width="15.8984375" bestFit="1" customWidth="1"/>
    <col min="7" max="7" width="22.796875" customWidth="1"/>
    <col min="8" max="8" width="21.8984375" bestFit="1" customWidth="1"/>
    <col min="9" max="9" width="14.59765625" customWidth="1"/>
    <col min="10" max="10" width="13.3984375" customWidth="1"/>
    <col min="11" max="11" width="13.09765625" bestFit="1" customWidth="1"/>
  </cols>
  <sheetData>
    <row r="1" spans="1:11" ht="20.399999999999999" customHeight="1" x14ac:dyDescent="0.3">
      <c r="A1" s="15" t="s">
        <v>249</v>
      </c>
      <c r="B1" s="15" t="s">
        <v>310</v>
      </c>
      <c r="C1" s="15" t="s">
        <v>284</v>
      </c>
      <c r="D1" s="15" t="s">
        <v>323</v>
      </c>
      <c r="E1" s="15" t="s">
        <v>294</v>
      </c>
      <c r="F1" s="15" t="s">
        <v>312</v>
      </c>
      <c r="G1" s="17" t="s">
        <v>324</v>
      </c>
      <c r="H1" s="15" t="s">
        <v>326</v>
      </c>
      <c r="I1" s="15" t="s">
        <v>327</v>
      </c>
      <c r="J1" s="15" t="s">
        <v>328</v>
      </c>
      <c r="K1" s="23" t="s">
        <v>329</v>
      </c>
    </row>
    <row r="2" spans="1:11" x14ac:dyDescent="0.3">
      <c r="A2" t="str" cm="1">
        <f t="array" aca="1" ref="A2:G2" ca="1">_xlfn._xlws.FILTER(_xlfn.CHOOSECOLS('MAINTENANCE PLANNING'!A6:I100,1,2,3,4,5,7,8),'MAINTENANCE PLANNING'!A6:A100='MAINTENANCE PLANNING'!$B$2,"")</f>
        <v>VT-ABC</v>
      </c>
      <c r="B2" t="str">
        <f ca="1"/>
        <v>AD</v>
      </c>
      <c r="C2" t="str">
        <f ca="1"/>
        <v>2026-5423</v>
      </c>
      <c r="D2" t="str">
        <f ca="1"/>
        <v>Elevator Inspection</v>
      </c>
      <c r="E2" s="1">
        <f ca="1"/>
        <v>46249</v>
      </c>
      <c r="F2" t="str">
        <f ca="1"/>
        <v>CRITICAL</v>
      </c>
      <c r="G2" s="3" t="str">
        <f ca="1"/>
        <v>IMMEDIATE ACTION</v>
      </c>
      <c r="H2" t="str" cm="1">
        <f t="array" aca="1" ref="H2" ca="1">IF(G2="","",_xlfn.IFS(G2="IMMEDIATE ACTION","PACKAGE 1 - IMMEDIATE",G2="NEXT 7 DAYS","PACKAGE 2 - NEAR TERM",G2="NEXT 30 DAYS","PACKAGE 3 - UPCOMING",G2="NEXT 90 DAYS","PACKAGE 4 - PLANNED",TRUE,"PACKAGE 5 - FUTURE"))</f>
        <v>PACKAGE 1 - IMMEDIATE</v>
      </c>
      <c r="I2" s="1">
        <f ca="1">IF(E2="","",E2)</f>
        <v>46249</v>
      </c>
      <c r="J2" s="1">
        <f ca="1">IF(E2="","",E2+7)</f>
        <v>46256</v>
      </c>
      <c r="K2" t="str">
        <f ca="1">IF(E2="","","PKG-"&amp;TEXT(I2,"DD-MMM-YY"))</f>
        <v>PKG-15-Aug-26</v>
      </c>
    </row>
    <row r="3" spans="1:11" x14ac:dyDescent="0.3">
      <c r="E3" s="1"/>
      <c r="H3" t="str" cm="1">
        <f t="array" ref="H3">IF(G3="","",_xlfn.IFS(G3="IMMEDIATE ACTION","PACKAGE 1 - IMMEDIATE",G3="NEXT 7 DAYS","PACKAGE 2 - NEAR TERM",G3="NEXT 30 DAYS","PACKAGE 3 - UPCOMING",G3="NEXT 90 DAYS","PACKAGE 4 - PLANNED",TRUE,"PACKAGE 5 - FUTURE"))</f>
        <v/>
      </c>
      <c r="I3" s="1" t="str">
        <f>IF(E3="","",E3)</f>
        <v/>
      </c>
      <c r="J3" s="1" t="str">
        <f>IF(E3="","",E3+7)</f>
        <v/>
      </c>
      <c r="K3" t="str">
        <f>IF(E3="","","PKG-"&amp;TEXT(I3,"DD-MMM-YY"))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Aircraft INFORMATION</vt:lpstr>
      <vt:lpstr>AD_Status</vt:lpstr>
      <vt:lpstr>ATTENTION REQUIRED</vt:lpstr>
      <vt:lpstr>AIRCRAFT HISTORY</vt:lpstr>
      <vt:lpstr>Risk Priority</vt:lpstr>
      <vt:lpstr>RISK AMP</vt:lpstr>
      <vt:lpstr>RISK DEFECTS</vt:lpstr>
      <vt:lpstr>RISK &amp; PRIORITY</vt:lpstr>
      <vt:lpstr>Defered Defects</vt:lpstr>
      <vt:lpstr>AMP</vt:lpstr>
      <vt:lpstr>CRS</vt:lpstr>
      <vt:lpstr>Technical Log</vt:lpstr>
      <vt:lpstr>Life limited parts</vt:lpstr>
      <vt:lpstr>MAINTENANCE PLANNING</vt:lpstr>
      <vt:lpstr>MAINTENANCE 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ahmed</dc:creator>
  <cp:lastModifiedBy>faraz ahmed</cp:lastModifiedBy>
  <dcterms:created xsi:type="dcterms:W3CDTF">2026-07-31T12:32:45Z</dcterms:created>
  <dcterms:modified xsi:type="dcterms:W3CDTF">2026-09-06T08:06:20Z</dcterms:modified>
</cp:coreProperties>
</file>